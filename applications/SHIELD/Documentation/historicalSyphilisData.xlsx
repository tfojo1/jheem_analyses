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pkasaie1_jh_edu/Documents/SHIELDR01/SHIELD-Shared/DATA/"/>
    </mc:Choice>
  </mc:AlternateContent>
  <xr:revisionPtr revIDLastSave="245" documentId="13_ncr:1_{03A7D326-5D40-B548-85B0-87AA42F72624}" xr6:coauthVersionLast="47" xr6:coauthVersionMax="47" xr10:uidLastSave="{15BA042B-BF9E-C844-A1AB-7B87099B7CB5}"/>
  <bookViews>
    <workbookView minimized="1" xWindow="34560" yWindow="1220" windowWidth="38400" windowHeight="18760" xr2:uid="{7B04A3EF-13DB-9942-B858-9A03F3102C3E}"/>
  </bookViews>
  <sheets>
    <sheet name="Sheet1" sheetId="1" r:id="rId1"/>
    <sheet name="recent tre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/>
  <c r="C41" i="2"/>
  <c r="L95" i="1"/>
  <c r="T42" i="1"/>
  <c r="T41" i="1"/>
  <c r="Z41" i="1"/>
  <c r="Y41" i="1"/>
  <c r="X41" i="1"/>
  <c r="W41" i="1"/>
  <c r="V41" i="1"/>
  <c r="U41" i="1"/>
  <c r="A41" i="1"/>
  <c r="A61" i="1"/>
</calcChain>
</file>

<file path=xl/sharedStrings.xml><?xml version="1.0" encoding="utf-8"?>
<sst xmlns="http://schemas.openxmlformats.org/spreadsheetml/2006/main" count="145" uniqueCount="29">
  <si>
    <t>Gonorrhea</t>
  </si>
  <si>
    <t>Total</t>
  </si>
  <si>
    <t>Congenital</t>
  </si>
  <si>
    <t>Cases</t>
  </si>
  <si>
    <t>Rate</t>
  </si>
  <si>
    <t>Rate‖</t>
  </si>
  <si>
    <t>NR</t>
  </si>
  <si>
    <t>—</t>
  </si>
  <si>
    <t>Primary and
Secondary</t>
  </si>
  <si>
    <t>Early
Non-Primary Non-Secondary</t>
  </si>
  <si>
    <t>Unknown Duration
or Late§</t>
  </si>
  <si>
    <t>Chancroid</t>
  </si>
  <si>
    <t>Clamydia</t>
  </si>
  <si>
    <t>Year</t>
  </si>
  <si>
    <t>https://www.cdc.gov/std/statistics/2022/tables/1.htm</t>
  </si>
  <si>
    <t>Sexually Transmitted Infections — Reported Cases and Rates of Reported Cases*, United States</t>
  </si>
  <si>
    <t xml:space="preserve">DATA TABLES FROM STI SURVEILLANCE, 2023 | PAGE 1 OF 37 | ALL PAGES </t>
  </si>
  <si>
    <t>rate per 100,000</t>
  </si>
  <si>
    <t>Table 1. Sexually Transmitted Infections — Reported Cases and Rates of Reported Cases*, United States</t>
  </si>
  <si>
    <t>Relative Diagnosis in 1970 to 1990</t>
  </si>
  <si>
    <t>n.ps</t>
  </si>
  <si>
    <t>r.ps</t>
  </si>
  <si>
    <t>n.el</t>
  </si>
  <si>
    <t>r.el</t>
  </si>
  <si>
    <t>n.l</t>
  </si>
  <si>
    <t>r/l</t>
  </si>
  <si>
    <t>2024 STI report</t>
  </si>
  <si>
    <t>Doxy PEP studies appeared</t>
  </si>
  <si>
    <t>CDC published Doxy PEP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</si>
</sst>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8"/>
      <color rgb="FF000000"/>
      <name val="Helvetica Neue"/>
      <family val="2"/>
    </font>
    <font>
      <sz val="18"/>
      <color rgb="FF000000"/>
      <name val="Helvetica Neue"/>
      <family val="2"/>
    </font>
    <font>
      <u/>
      <sz val="12"/>
      <color theme="10"/>
      <name val="Aptos Narrow"/>
      <family val="2"/>
      <scheme val="minor"/>
    </font>
    <font>
      <sz val="18"/>
      <color rgb="FF1C1D1F"/>
      <name val="Arial"/>
      <family val="2"/>
    </font>
    <font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3" tint="9.9978637043366805E-2"/>
      <name val="Aptos Narrow"/>
      <family val="2"/>
      <scheme val="minor"/>
    </font>
    <font>
      <b/>
      <sz val="18"/>
      <color theme="3" tint="9.9978637043366805E-2"/>
      <name val="Helvetica Neue"/>
      <family val="2"/>
    </font>
    <font>
      <sz val="18"/>
      <color theme="3" tint="9.9978637043366805E-2"/>
      <name val="Helvetica Neue"/>
      <family val="2"/>
    </font>
    <font>
      <sz val="18"/>
      <color theme="3" tint="9.9978637043366805E-2"/>
      <name val="Arial"/>
      <family val="2"/>
    </font>
    <font>
      <sz val="20"/>
      <color theme="1"/>
      <name val="Aptos Narrow"/>
      <family val="2"/>
      <scheme val="minor"/>
    </font>
    <font>
      <sz val="20"/>
      <color theme="1"/>
      <name val="Aptos Narrow"/>
      <scheme val="minor"/>
    </font>
    <font>
      <b/>
      <sz val="18"/>
      <color theme="4"/>
      <name val="Helvetica Neue"/>
      <family val="2"/>
    </font>
    <font>
      <sz val="18"/>
      <color theme="4"/>
      <name val="Helvetica Neue"/>
      <family val="2"/>
    </font>
    <font>
      <sz val="18"/>
      <color theme="4"/>
      <name val="Arial"/>
      <family val="2"/>
    </font>
    <font>
      <sz val="18"/>
      <color theme="3" tint="9.9978637043366805E-2"/>
      <name val="Aptos Narrow"/>
      <family val="2"/>
      <scheme val="minor"/>
    </font>
    <font>
      <b/>
      <i/>
      <sz val="18"/>
      <color theme="8"/>
      <name val="Helvetica Neue"/>
      <family val="2"/>
    </font>
    <font>
      <i/>
      <sz val="18"/>
      <color theme="8"/>
      <name val="Helvetica Neue"/>
      <family val="2"/>
    </font>
    <font>
      <i/>
      <sz val="18"/>
      <color theme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10" fillId="0" borderId="0" xfId="0" applyNumberFormat="1" applyFont="1" applyAlignment="1">
      <alignment horizontal="left"/>
    </xf>
    <xf numFmtId="3" fontId="11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3" fontId="10" fillId="3" borderId="0" xfId="0" applyNumberFormat="1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3" fontId="9" fillId="3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3" fontId="10" fillId="4" borderId="0" xfId="0" applyNumberFormat="1" applyFont="1" applyFill="1" applyAlignment="1">
      <alignment horizontal="left"/>
    </xf>
    <xf numFmtId="3" fontId="2" fillId="4" borderId="0" xfId="0" applyNumberFormat="1" applyFont="1" applyFill="1" applyAlignment="1">
      <alignment horizontal="left"/>
    </xf>
    <xf numFmtId="3" fontId="9" fillId="4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3" fontId="15" fillId="0" borderId="0" xfId="0" applyNumberFormat="1" applyFont="1" applyAlignment="1">
      <alignment horizontal="left"/>
    </xf>
    <xf numFmtId="3" fontId="15" fillId="4" borderId="0" xfId="0" applyNumberFormat="1" applyFont="1" applyFill="1" applyAlignment="1">
      <alignment horizontal="left"/>
    </xf>
    <xf numFmtId="0" fontId="15" fillId="0" borderId="0" xfId="0" applyFont="1" applyAlignment="1">
      <alignment horizontal="left"/>
    </xf>
    <xf numFmtId="3" fontId="15" fillId="3" borderId="0" xfId="0" applyNumberFormat="1" applyFont="1" applyFill="1" applyAlignment="1">
      <alignment horizontal="left"/>
    </xf>
    <xf numFmtId="3" fontId="16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US syphilis Epidemic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5327417213725882E-2"/>
          <c:y val="0.10972222222222222"/>
          <c:w val="0.87089660126202473"/>
          <c:h val="0.6808283579937123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Sheet1!$C$10</c:f>
              <c:strCache>
                <c:ptCount val="1"/>
                <c:pt idx="0">
                  <c:v>Total</c:v>
                </c:pt>
              </c:strCache>
            </c:strRef>
          </c:tx>
          <c:spPr>
            <a:ln w="63500"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Sheet1!$C$12:$C$93</c:f>
              <c:numCache>
                <c:formatCode>#,##0</c:formatCode>
                <c:ptCount val="82"/>
                <c:pt idx="0">
                  <c:v>485560</c:v>
                </c:pt>
                <c:pt idx="1">
                  <c:v>479601</c:v>
                </c:pt>
                <c:pt idx="2">
                  <c:v>575593</c:v>
                </c:pt>
                <c:pt idx="3">
                  <c:v>467755</c:v>
                </c:pt>
                <c:pt idx="4">
                  <c:v>359114</c:v>
                </c:pt>
                <c:pt idx="5">
                  <c:v>363647</c:v>
                </c:pt>
                <c:pt idx="6">
                  <c:v>355592</c:v>
                </c:pt>
                <c:pt idx="7">
                  <c:v>314313</c:v>
                </c:pt>
                <c:pt idx="8">
                  <c:v>256463</c:v>
                </c:pt>
                <c:pt idx="9">
                  <c:v>217558</c:v>
                </c:pt>
                <c:pt idx="10">
                  <c:v>174924</c:v>
                </c:pt>
                <c:pt idx="11">
                  <c:v>167762</c:v>
                </c:pt>
                <c:pt idx="12">
                  <c:v>148573</c:v>
                </c:pt>
                <c:pt idx="13">
                  <c:v>130697</c:v>
                </c:pt>
                <c:pt idx="14">
                  <c:v>122392</c:v>
                </c:pt>
                <c:pt idx="15">
                  <c:v>130201</c:v>
                </c:pt>
                <c:pt idx="16">
                  <c:v>123758</c:v>
                </c:pt>
                <c:pt idx="17">
                  <c:v>113884</c:v>
                </c:pt>
                <c:pt idx="18">
                  <c:v>120824</c:v>
                </c:pt>
                <c:pt idx="19">
                  <c:v>122538</c:v>
                </c:pt>
                <c:pt idx="20">
                  <c:v>124658</c:v>
                </c:pt>
                <c:pt idx="21">
                  <c:v>126245</c:v>
                </c:pt>
                <c:pt idx="22">
                  <c:v>124137</c:v>
                </c:pt>
                <c:pt idx="23">
                  <c:v>114325</c:v>
                </c:pt>
                <c:pt idx="24">
                  <c:v>112842</c:v>
                </c:pt>
                <c:pt idx="25">
                  <c:v>105159</c:v>
                </c:pt>
                <c:pt idx="26">
                  <c:v>102581</c:v>
                </c:pt>
                <c:pt idx="27">
                  <c:v>96271</c:v>
                </c:pt>
                <c:pt idx="28">
                  <c:v>92162</c:v>
                </c:pt>
                <c:pt idx="29">
                  <c:v>91382</c:v>
                </c:pt>
                <c:pt idx="30">
                  <c:v>95997</c:v>
                </c:pt>
                <c:pt idx="31">
                  <c:v>91149</c:v>
                </c:pt>
                <c:pt idx="32">
                  <c:v>87469</c:v>
                </c:pt>
                <c:pt idx="33">
                  <c:v>83771</c:v>
                </c:pt>
                <c:pt idx="34">
                  <c:v>80356</c:v>
                </c:pt>
                <c:pt idx="35">
                  <c:v>71761</c:v>
                </c:pt>
                <c:pt idx="36">
                  <c:v>64621</c:v>
                </c:pt>
                <c:pt idx="37">
                  <c:v>64875</c:v>
                </c:pt>
                <c:pt idx="38">
                  <c:v>67049</c:v>
                </c:pt>
                <c:pt idx="39">
                  <c:v>68832</c:v>
                </c:pt>
                <c:pt idx="40">
                  <c:v>72799</c:v>
                </c:pt>
                <c:pt idx="41">
                  <c:v>75579</c:v>
                </c:pt>
                <c:pt idx="42">
                  <c:v>74637</c:v>
                </c:pt>
                <c:pt idx="43">
                  <c:v>69872</c:v>
                </c:pt>
                <c:pt idx="44">
                  <c:v>67563</c:v>
                </c:pt>
                <c:pt idx="45">
                  <c:v>67779</c:v>
                </c:pt>
                <c:pt idx="46">
                  <c:v>87286</c:v>
                </c:pt>
                <c:pt idx="47">
                  <c:v>104546</c:v>
                </c:pt>
                <c:pt idx="48">
                  <c:v>115089</c:v>
                </c:pt>
                <c:pt idx="49">
                  <c:v>135590</c:v>
                </c:pt>
                <c:pt idx="50">
                  <c:v>128719</c:v>
                </c:pt>
                <c:pt idx="51">
                  <c:v>114730</c:v>
                </c:pt>
                <c:pt idx="52">
                  <c:v>102612</c:v>
                </c:pt>
                <c:pt idx="53">
                  <c:v>82713</c:v>
                </c:pt>
                <c:pt idx="54">
                  <c:v>69359</c:v>
                </c:pt>
                <c:pt idx="55">
                  <c:v>53240</c:v>
                </c:pt>
                <c:pt idx="56">
                  <c:v>46716</c:v>
                </c:pt>
                <c:pt idx="57">
                  <c:v>38289</c:v>
                </c:pt>
                <c:pt idx="58">
                  <c:v>35386</c:v>
                </c:pt>
                <c:pt idx="59">
                  <c:v>31618</c:v>
                </c:pt>
                <c:pt idx="60">
                  <c:v>32286</c:v>
                </c:pt>
                <c:pt idx="61">
                  <c:v>32919</c:v>
                </c:pt>
                <c:pt idx="62">
                  <c:v>34289</c:v>
                </c:pt>
                <c:pt idx="63">
                  <c:v>33423</c:v>
                </c:pt>
                <c:pt idx="64">
                  <c:v>33288</c:v>
                </c:pt>
                <c:pt idx="65">
                  <c:v>36958</c:v>
                </c:pt>
                <c:pt idx="66">
                  <c:v>40925</c:v>
                </c:pt>
                <c:pt idx="67">
                  <c:v>46292</c:v>
                </c:pt>
                <c:pt idx="68">
                  <c:v>44832</c:v>
                </c:pt>
                <c:pt idx="69">
                  <c:v>45844</c:v>
                </c:pt>
                <c:pt idx="70">
                  <c:v>46040</c:v>
                </c:pt>
                <c:pt idx="71">
                  <c:v>49915</c:v>
                </c:pt>
                <c:pt idx="72">
                  <c:v>56485</c:v>
                </c:pt>
                <c:pt idx="73">
                  <c:v>63454</c:v>
                </c:pt>
                <c:pt idx="74">
                  <c:v>74709</c:v>
                </c:pt>
                <c:pt idx="75">
                  <c:v>88055</c:v>
                </c:pt>
                <c:pt idx="76">
                  <c:v>101591</c:v>
                </c:pt>
                <c:pt idx="77">
                  <c:v>115064</c:v>
                </c:pt>
                <c:pt idx="78">
                  <c:v>129825</c:v>
                </c:pt>
                <c:pt idx="79">
                  <c:v>133959</c:v>
                </c:pt>
                <c:pt idx="80">
                  <c:v>176733</c:v>
                </c:pt>
                <c:pt idx="81">
                  <c:v>207269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F9A-8243-82B6-229C93069D39}"/>
            </c:ext>
          </c:extLst>
        </c:ser>
        <c:ser>
          <c:idx val="2"/>
          <c:order val="1"/>
          <c:tx>
            <c:strRef>
              <c:f>Sheet1!$E$10</c:f>
              <c:strCache>
                <c:ptCount val="1"/>
                <c:pt idx="0">
                  <c:v>Primary and
Secondary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Sheet1!$E$12:$E$93</c:f>
              <c:numCache>
                <c:formatCode>#,##0</c:formatCode>
                <c:ptCount val="82"/>
                <c:pt idx="0">
                  <c:v>68231</c:v>
                </c:pt>
                <c:pt idx="1">
                  <c:v>75312</c:v>
                </c:pt>
                <c:pt idx="2">
                  <c:v>82204</c:v>
                </c:pt>
                <c:pt idx="3">
                  <c:v>78443</c:v>
                </c:pt>
                <c:pt idx="4">
                  <c:v>77007</c:v>
                </c:pt>
                <c:pt idx="5">
                  <c:v>94957</c:v>
                </c:pt>
                <c:pt idx="6">
                  <c:v>93545</c:v>
                </c:pt>
                <c:pt idx="7">
                  <c:v>68174</c:v>
                </c:pt>
                <c:pt idx="8">
                  <c:v>41942</c:v>
                </c:pt>
                <c:pt idx="9">
                  <c:v>23939</c:v>
                </c:pt>
                <c:pt idx="10">
                  <c:v>14485</c:v>
                </c:pt>
                <c:pt idx="11">
                  <c:v>10449</c:v>
                </c:pt>
                <c:pt idx="12">
                  <c:v>8637</c:v>
                </c:pt>
                <c:pt idx="13">
                  <c:v>7147</c:v>
                </c:pt>
                <c:pt idx="14">
                  <c:v>6454</c:v>
                </c:pt>
                <c:pt idx="15">
                  <c:v>6392</c:v>
                </c:pt>
                <c:pt idx="16">
                  <c:v>6576</c:v>
                </c:pt>
                <c:pt idx="17">
                  <c:v>7176</c:v>
                </c:pt>
                <c:pt idx="18">
                  <c:v>9799</c:v>
                </c:pt>
                <c:pt idx="19">
                  <c:v>16145</c:v>
                </c:pt>
                <c:pt idx="20">
                  <c:v>19851</c:v>
                </c:pt>
                <c:pt idx="21">
                  <c:v>21067</c:v>
                </c:pt>
                <c:pt idx="22">
                  <c:v>22251</c:v>
                </c:pt>
                <c:pt idx="23">
                  <c:v>22969</c:v>
                </c:pt>
                <c:pt idx="24">
                  <c:v>23338</c:v>
                </c:pt>
                <c:pt idx="25">
                  <c:v>21414</c:v>
                </c:pt>
                <c:pt idx="26">
                  <c:v>21053</c:v>
                </c:pt>
                <c:pt idx="27">
                  <c:v>19019</c:v>
                </c:pt>
                <c:pt idx="28">
                  <c:v>19130</c:v>
                </c:pt>
                <c:pt idx="29">
                  <c:v>21982</c:v>
                </c:pt>
                <c:pt idx="30">
                  <c:v>23783</c:v>
                </c:pt>
                <c:pt idx="31">
                  <c:v>24429</c:v>
                </c:pt>
                <c:pt idx="32">
                  <c:v>24825</c:v>
                </c:pt>
                <c:pt idx="33">
                  <c:v>25385</c:v>
                </c:pt>
                <c:pt idx="34">
                  <c:v>25561</c:v>
                </c:pt>
                <c:pt idx="35">
                  <c:v>23731</c:v>
                </c:pt>
                <c:pt idx="36">
                  <c:v>20399</c:v>
                </c:pt>
                <c:pt idx="37">
                  <c:v>21656</c:v>
                </c:pt>
                <c:pt idx="38">
                  <c:v>24874</c:v>
                </c:pt>
                <c:pt idx="39">
                  <c:v>27204</c:v>
                </c:pt>
                <c:pt idx="40">
                  <c:v>31266</c:v>
                </c:pt>
                <c:pt idx="41">
                  <c:v>33613</c:v>
                </c:pt>
                <c:pt idx="42">
                  <c:v>32698</c:v>
                </c:pt>
                <c:pt idx="43">
                  <c:v>28607</c:v>
                </c:pt>
                <c:pt idx="44">
                  <c:v>27131</c:v>
                </c:pt>
                <c:pt idx="45">
                  <c:v>27667</c:v>
                </c:pt>
                <c:pt idx="46">
                  <c:v>35585</c:v>
                </c:pt>
                <c:pt idx="47">
                  <c:v>40474</c:v>
                </c:pt>
                <c:pt idx="48">
                  <c:v>45826</c:v>
                </c:pt>
                <c:pt idx="49">
                  <c:v>50578</c:v>
                </c:pt>
                <c:pt idx="50">
                  <c:v>42950</c:v>
                </c:pt>
                <c:pt idx="51">
                  <c:v>34009</c:v>
                </c:pt>
                <c:pt idx="52">
                  <c:v>26527</c:v>
                </c:pt>
                <c:pt idx="53">
                  <c:v>20641</c:v>
                </c:pt>
                <c:pt idx="54">
                  <c:v>16543</c:v>
                </c:pt>
                <c:pt idx="55">
                  <c:v>11405</c:v>
                </c:pt>
                <c:pt idx="56">
                  <c:v>8556</c:v>
                </c:pt>
                <c:pt idx="57">
                  <c:v>7007</c:v>
                </c:pt>
                <c:pt idx="58">
                  <c:v>6617</c:v>
                </c:pt>
                <c:pt idx="59">
                  <c:v>5979</c:v>
                </c:pt>
                <c:pt idx="60">
                  <c:v>6103</c:v>
                </c:pt>
                <c:pt idx="61">
                  <c:v>6862</c:v>
                </c:pt>
                <c:pt idx="62">
                  <c:v>7177</c:v>
                </c:pt>
                <c:pt idx="63">
                  <c:v>7980</c:v>
                </c:pt>
                <c:pt idx="64">
                  <c:v>8724</c:v>
                </c:pt>
                <c:pt idx="65">
                  <c:v>9756</c:v>
                </c:pt>
                <c:pt idx="66">
                  <c:v>11466</c:v>
                </c:pt>
                <c:pt idx="67">
                  <c:v>13500</c:v>
                </c:pt>
                <c:pt idx="68">
                  <c:v>13997</c:v>
                </c:pt>
                <c:pt idx="69">
                  <c:v>13774</c:v>
                </c:pt>
                <c:pt idx="70">
                  <c:v>13970</c:v>
                </c:pt>
                <c:pt idx="71">
                  <c:v>15667</c:v>
                </c:pt>
                <c:pt idx="72">
                  <c:v>17375</c:v>
                </c:pt>
                <c:pt idx="73">
                  <c:v>19999</c:v>
                </c:pt>
                <c:pt idx="74">
                  <c:v>23872</c:v>
                </c:pt>
                <c:pt idx="75">
                  <c:v>27814</c:v>
                </c:pt>
                <c:pt idx="76">
                  <c:v>30644</c:v>
                </c:pt>
                <c:pt idx="77">
                  <c:v>35063</c:v>
                </c:pt>
                <c:pt idx="78">
                  <c:v>38992</c:v>
                </c:pt>
                <c:pt idx="79">
                  <c:v>41655</c:v>
                </c:pt>
                <c:pt idx="80">
                  <c:v>53767</c:v>
                </c:pt>
                <c:pt idx="81">
                  <c:v>3769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F9A-8243-82B6-229C93069D39}"/>
            </c:ext>
          </c:extLst>
        </c:ser>
        <c:ser>
          <c:idx val="3"/>
          <c:order val="2"/>
          <c:tx>
            <c:strRef>
              <c:f>Sheet1!$G$10</c:f>
              <c:strCache>
                <c:ptCount val="1"/>
                <c:pt idx="0">
                  <c:v>Early
Non-Primary Non-Secondary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Sheet1!$G$12:$G$93</c:f>
              <c:numCache>
                <c:formatCode>#,##0</c:formatCode>
                <c:ptCount val="82"/>
                <c:pt idx="0">
                  <c:v>109018</c:v>
                </c:pt>
                <c:pt idx="1">
                  <c:v>116245</c:v>
                </c:pt>
                <c:pt idx="2">
                  <c:v>149390</c:v>
                </c:pt>
                <c:pt idx="3">
                  <c:v>123038</c:v>
                </c:pt>
                <c:pt idx="4">
                  <c:v>101719</c:v>
                </c:pt>
                <c:pt idx="5">
                  <c:v>107924</c:v>
                </c:pt>
                <c:pt idx="6">
                  <c:v>104124</c:v>
                </c:pt>
                <c:pt idx="7">
                  <c:v>90598</c:v>
                </c:pt>
                <c:pt idx="8">
                  <c:v>75045</c:v>
                </c:pt>
                <c:pt idx="9">
                  <c:v>59256</c:v>
                </c:pt>
                <c:pt idx="10">
                  <c:v>43316</c:v>
                </c:pt>
                <c:pt idx="11">
                  <c:v>36454</c:v>
                </c:pt>
                <c:pt idx="12">
                  <c:v>28295</c:v>
                </c:pt>
                <c:pt idx="13">
                  <c:v>23861</c:v>
                </c:pt>
                <c:pt idx="14">
                  <c:v>20054</c:v>
                </c:pt>
                <c:pt idx="15">
                  <c:v>19783</c:v>
                </c:pt>
                <c:pt idx="16">
                  <c:v>17796</c:v>
                </c:pt>
                <c:pt idx="17">
                  <c:v>16556</c:v>
                </c:pt>
                <c:pt idx="18">
                  <c:v>17025</c:v>
                </c:pt>
                <c:pt idx="19">
                  <c:v>18017</c:v>
                </c:pt>
                <c:pt idx="20">
                  <c:v>19486</c:v>
                </c:pt>
                <c:pt idx="21">
                  <c:v>19585</c:v>
                </c:pt>
                <c:pt idx="22">
                  <c:v>18235</c:v>
                </c:pt>
                <c:pt idx="23">
                  <c:v>17781</c:v>
                </c:pt>
                <c:pt idx="24">
                  <c:v>17458</c:v>
                </c:pt>
                <c:pt idx="25">
                  <c:v>15950</c:v>
                </c:pt>
                <c:pt idx="26">
                  <c:v>15554</c:v>
                </c:pt>
                <c:pt idx="27">
                  <c:v>15150</c:v>
                </c:pt>
                <c:pt idx="28">
                  <c:v>15402</c:v>
                </c:pt>
                <c:pt idx="29">
                  <c:v>16311</c:v>
                </c:pt>
                <c:pt idx="30">
                  <c:v>19417</c:v>
                </c:pt>
                <c:pt idx="31">
                  <c:v>20784</c:v>
                </c:pt>
                <c:pt idx="32">
                  <c:v>23584</c:v>
                </c:pt>
                <c:pt idx="33">
                  <c:v>25124</c:v>
                </c:pt>
                <c:pt idx="34">
                  <c:v>26569</c:v>
                </c:pt>
                <c:pt idx="35">
                  <c:v>25363</c:v>
                </c:pt>
                <c:pt idx="36">
                  <c:v>21329</c:v>
                </c:pt>
                <c:pt idx="37">
                  <c:v>19628</c:v>
                </c:pt>
                <c:pt idx="38">
                  <c:v>20459</c:v>
                </c:pt>
                <c:pt idx="39">
                  <c:v>20297</c:v>
                </c:pt>
                <c:pt idx="40">
                  <c:v>21033</c:v>
                </c:pt>
                <c:pt idx="41">
                  <c:v>21894</c:v>
                </c:pt>
                <c:pt idx="42">
                  <c:v>23738</c:v>
                </c:pt>
                <c:pt idx="43">
                  <c:v>23131</c:v>
                </c:pt>
                <c:pt idx="44">
                  <c:v>21689</c:v>
                </c:pt>
                <c:pt idx="45">
                  <c:v>21656</c:v>
                </c:pt>
                <c:pt idx="46">
                  <c:v>28233</c:v>
                </c:pt>
                <c:pt idx="47">
                  <c:v>35968</c:v>
                </c:pt>
                <c:pt idx="48">
                  <c:v>45394</c:v>
                </c:pt>
                <c:pt idx="49">
                  <c:v>55397</c:v>
                </c:pt>
                <c:pt idx="50">
                  <c:v>53855</c:v>
                </c:pt>
                <c:pt idx="51">
                  <c:v>49929</c:v>
                </c:pt>
                <c:pt idx="52">
                  <c:v>41919</c:v>
                </c:pt>
                <c:pt idx="53">
                  <c:v>32017</c:v>
                </c:pt>
                <c:pt idx="54">
                  <c:v>26657</c:v>
                </c:pt>
                <c:pt idx="55">
                  <c:v>20187</c:v>
                </c:pt>
                <c:pt idx="56">
                  <c:v>16631</c:v>
                </c:pt>
                <c:pt idx="57">
                  <c:v>12696</c:v>
                </c:pt>
                <c:pt idx="58">
                  <c:v>11534</c:v>
                </c:pt>
                <c:pt idx="59">
                  <c:v>9465</c:v>
                </c:pt>
                <c:pt idx="60">
                  <c:v>8701</c:v>
                </c:pt>
                <c:pt idx="61">
                  <c:v>8429</c:v>
                </c:pt>
                <c:pt idx="62">
                  <c:v>8361</c:v>
                </c:pt>
                <c:pt idx="63">
                  <c:v>7768</c:v>
                </c:pt>
                <c:pt idx="64">
                  <c:v>8176</c:v>
                </c:pt>
                <c:pt idx="65">
                  <c:v>9186</c:v>
                </c:pt>
                <c:pt idx="66">
                  <c:v>10768</c:v>
                </c:pt>
                <c:pt idx="67">
                  <c:v>12401</c:v>
                </c:pt>
                <c:pt idx="68">
                  <c:v>13066</c:v>
                </c:pt>
                <c:pt idx="69">
                  <c:v>13604</c:v>
                </c:pt>
                <c:pt idx="70">
                  <c:v>13136</c:v>
                </c:pt>
                <c:pt idx="71">
                  <c:v>14503</c:v>
                </c:pt>
                <c:pt idx="72">
                  <c:v>16929</c:v>
                </c:pt>
                <c:pt idx="73">
                  <c:v>19452</c:v>
                </c:pt>
                <c:pt idx="74">
                  <c:v>24173</c:v>
                </c:pt>
                <c:pt idx="75">
                  <c:v>28924</c:v>
                </c:pt>
                <c:pt idx="76">
                  <c:v>34013</c:v>
                </c:pt>
                <c:pt idx="77">
                  <c:v>38539</c:v>
                </c:pt>
                <c:pt idx="78">
                  <c:v>41655</c:v>
                </c:pt>
                <c:pt idx="79">
                  <c:v>43145</c:v>
                </c:pt>
                <c:pt idx="80">
                  <c:v>51830</c:v>
                </c:pt>
                <c:pt idx="81">
                  <c:v>59016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F9A-8243-82B6-229C93069D39}"/>
            </c:ext>
          </c:extLst>
        </c:ser>
        <c:ser>
          <c:idx val="4"/>
          <c:order val="3"/>
          <c:tx>
            <c:strRef>
              <c:f>Sheet1!$I$10</c:f>
              <c:strCache>
                <c:ptCount val="1"/>
                <c:pt idx="0">
                  <c:v>Unknown Duration
or Late§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Sheet1!$I$12:$I$93</c:f>
              <c:numCache>
                <c:formatCode>#,##0</c:formatCode>
                <c:ptCount val="82"/>
                <c:pt idx="0">
                  <c:v>202984</c:v>
                </c:pt>
                <c:pt idx="1">
                  <c:v>202064</c:v>
                </c:pt>
                <c:pt idx="2">
                  <c:v>251958</c:v>
                </c:pt>
                <c:pt idx="3">
                  <c:v>202848</c:v>
                </c:pt>
                <c:pt idx="4">
                  <c:v>142187</c:v>
                </c:pt>
                <c:pt idx="5">
                  <c:v>125248</c:v>
                </c:pt>
                <c:pt idx="6">
                  <c:v>122089</c:v>
                </c:pt>
                <c:pt idx="7">
                  <c:v>123312</c:v>
                </c:pt>
                <c:pt idx="8">
                  <c:v>116397</c:v>
                </c:pt>
                <c:pt idx="9">
                  <c:v>113569</c:v>
                </c:pt>
                <c:pt idx="10">
                  <c:v>98311</c:v>
                </c:pt>
                <c:pt idx="11">
                  <c:v>105238</c:v>
                </c:pt>
                <c:pt idx="12">
                  <c:v>98870</c:v>
                </c:pt>
                <c:pt idx="13">
                  <c:v>89123</c:v>
                </c:pt>
                <c:pt idx="14">
                  <c:v>86526</c:v>
                </c:pt>
                <c:pt idx="15">
                  <c:v>95097</c:v>
                </c:pt>
                <c:pt idx="16">
                  <c:v>91309</c:v>
                </c:pt>
                <c:pt idx="17">
                  <c:v>83027</c:v>
                </c:pt>
                <c:pt idx="18">
                  <c:v>86740</c:v>
                </c:pt>
                <c:pt idx="19">
                  <c:v>81798</c:v>
                </c:pt>
                <c:pt idx="20">
                  <c:v>79304</c:v>
                </c:pt>
                <c:pt idx="21">
                  <c:v>79533</c:v>
                </c:pt>
                <c:pt idx="22">
                  <c:v>78076</c:v>
                </c:pt>
                <c:pt idx="23">
                  <c:v>68629</c:v>
                </c:pt>
                <c:pt idx="24">
                  <c:v>67317</c:v>
                </c:pt>
                <c:pt idx="25">
                  <c:v>63541</c:v>
                </c:pt>
                <c:pt idx="26">
                  <c:v>61975</c:v>
                </c:pt>
                <c:pt idx="27">
                  <c:v>58564</c:v>
                </c:pt>
                <c:pt idx="28">
                  <c:v>54587</c:v>
                </c:pt>
                <c:pt idx="29">
                  <c:v>50348</c:v>
                </c:pt>
                <c:pt idx="30">
                  <c:v>49993</c:v>
                </c:pt>
                <c:pt idx="31">
                  <c:v>43456</c:v>
                </c:pt>
                <c:pt idx="32">
                  <c:v>37054</c:v>
                </c:pt>
                <c:pt idx="33">
                  <c:v>31854</c:v>
                </c:pt>
                <c:pt idx="34">
                  <c:v>27096</c:v>
                </c:pt>
                <c:pt idx="35">
                  <c:v>21905</c:v>
                </c:pt>
                <c:pt idx="36">
                  <c:v>22313</c:v>
                </c:pt>
                <c:pt idx="37">
                  <c:v>23038</c:v>
                </c:pt>
                <c:pt idx="38">
                  <c:v>21301</c:v>
                </c:pt>
                <c:pt idx="39">
                  <c:v>20979</c:v>
                </c:pt>
                <c:pt idx="40">
                  <c:v>20168</c:v>
                </c:pt>
                <c:pt idx="41">
                  <c:v>19779</c:v>
                </c:pt>
                <c:pt idx="42">
                  <c:v>17896</c:v>
                </c:pt>
                <c:pt idx="43">
                  <c:v>17829</c:v>
                </c:pt>
                <c:pt idx="44">
                  <c:v>18414</c:v>
                </c:pt>
                <c:pt idx="45">
                  <c:v>18046</c:v>
                </c:pt>
                <c:pt idx="46">
                  <c:v>22988</c:v>
                </c:pt>
                <c:pt idx="47">
                  <c:v>27363</c:v>
                </c:pt>
                <c:pt idx="48">
                  <c:v>22032</c:v>
                </c:pt>
                <c:pt idx="49">
                  <c:v>25750</c:v>
                </c:pt>
                <c:pt idx="50">
                  <c:v>27490</c:v>
                </c:pt>
                <c:pt idx="51">
                  <c:v>26725</c:v>
                </c:pt>
                <c:pt idx="52">
                  <c:v>30746</c:v>
                </c:pt>
                <c:pt idx="53">
                  <c:v>27603</c:v>
                </c:pt>
                <c:pt idx="54">
                  <c:v>24296</c:v>
                </c:pt>
                <c:pt idx="55">
                  <c:v>20366</c:v>
                </c:pt>
                <c:pt idx="56">
                  <c:v>20447</c:v>
                </c:pt>
                <c:pt idx="57">
                  <c:v>17743</c:v>
                </c:pt>
                <c:pt idx="58">
                  <c:v>16655</c:v>
                </c:pt>
                <c:pt idx="59">
                  <c:v>15594</c:v>
                </c:pt>
                <c:pt idx="60">
                  <c:v>16976</c:v>
                </c:pt>
                <c:pt idx="61">
                  <c:v>17168</c:v>
                </c:pt>
                <c:pt idx="62">
                  <c:v>18319</c:v>
                </c:pt>
                <c:pt idx="63">
                  <c:v>17300</c:v>
                </c:pt>
                <c:pt idx="64">
                  <c:v>16049</c:v>
                </c:pt>
                <c:pt idx="65">
                  <c:v>17644</c:v>
                </c:pt>
                <c:pt idx="66">
                  <c:v>18256</c:v>
                </c:pt>
                <c:pt idx="67">
                  <c:v>19945</c:v>
                </c:pt>
                <c:pt idx="68">
                  <c:v>17338</c:v>
                </c:pt>
                <c:pt idx="69">
                  <c:v>18079</c:v>
                </c:pt>
                <c:pt idx="70">
                  <c:v>18576</c:v>
                </c:pt>
                <c:pt idx="71">
                  <c:v>19411</c:v>
                </c:pt>
                <c:pt idx="72">
                  <c:v>21819</c:v>
                </c:pt>
                <c:pt idx="73">
                  <c:v>23541</c:v>
                </c:pt>
                <c:pt idx="74">
                  <c:v>26170</c:v>
                </c:pt>
                <c:pt idx="75">
                  <c:v>30676</c:v>
                </c:pt>
                <c:pt idx="76">
                  <c:v>35992</c:v>
                </c:pt>
                <c:pt idx="77">
                  <c:v>40137</c:v>
                </c:pt>
                <c:pt idx="78">
                  <c:v>47296</c:v>
                </c:pt>
                <c:pt idx="79">
                  <c:v>46997</c:v>
                </c:pt>
                <c:pt idx="80">
                  <c:v>68261</c:v>
                </c:pt>
                <c:pt idx="81">
                  <c:v>56913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F9A-8243-82B6-229C93069D39}"/>
            </c:ext>
          </c:extLst>
        </c:ser>
        <c:ser>
          <c:idx val="0"/>
          <c:order val="4"/>
          <c:tx>
            <c:strRef>
              <c:f>Sheet1!$K$10</c:f>
              <c:strCache>
                <c:ptCount val="1"/>
                <c:pt idx="0">
                  <c:v>Congenital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Sheet1!$K$12:$K$93</c:f>
              <c:numCache>
                <c:formatCode>#,##0</c:formatCode>
                <c:ptCount val="82"/>
                <c:pt idx="0">
                  <c:v>17600</c:v>
                </c:pt>
                <c:pt idx="1">
                  <c:v>16918</c:v>
                </c:pt>
                <c:pt idx="2">
                  <c:v>16164</c:v>
                </c:pt>
                <c:pt idx="3">
                  <c:v>13578</c:v>
                </c:pt>
                <c:pt idx="4">
                  <c:v>12339</c:v>
                </c:pt>
                <c:pt idx="5">
                  <c:v>12106</c:v>
                </c:pt>
                <c:pt idx="6">
                  <c:v>12200</c:v>
                </c:pt>
                <c:pt idx="7">
                  <c:v>13931</c:v>
                </c:pt>
                <c:pt idx="8">
                  <c:v>13952</c:v>
                </c:pt>
                <c:pt idx="9">
                  <c:v>13377</c:v>
                </c:pt>
                <c:pt idx="10">
                  <c:v>11094</c:v>
                </c:pt>
                <c:pt idx="11">
                  <c:v>8553</c:v>
                </c:pt>
                <c:pt idx="12">
                  <c:v>7675</c:v>
                </c:pt>
                <c:pt idx="13">
                  <c:v>6676</c:v>
                </c:pt>
                <c:pt idx="14">
                  <c:v>5354</c:v>
                </c:pt>
                <c:pt idx="15">
                  <c:v>5491</c:v>
                </c:pt>
                <c:pt idx="16">
                  <c:v>5288</c:v>
                </c:pt>
                <c:pt idx="17">
                  <c:v>4866</c:v>
                </c:pt>
                <c:pt idx="18">
                  <c:v>5130</c:v>
                </c:pt>
                <c:pt idx="19">
                  <c:v>4416</c:v>
                </c:pt>
                <c:pt idx="20">
                  <c:v>4163</c:v>
                </c:pt>
                <c:pt idx="21">
                  <c:v>4070</c:v>
                </c:pt>
                <c:pt idx="22">
                  <c:v>4031</c:v>
                </c:pt>
                <c:pt idx="23">
                  <c:v>3516</c:v>
                </c:pt>
                <c:pt idx="24">
                  <c:v>3564</c:v>
                </c:pt>
                <c:pt idx="25">
                  <c:v>3170</c:v>
                </c:pt>
                <c:pt idx="26">
                  <c:v>2894</c:v>
                </c:pt>
                <c:pt idx="27">
                  <c:v>2381</c:v>
                </c:pt>
                <c:pt idx="28">
                  <c:v>2074</c:v>
                </c:pt>
                <c:pt idx="29">
                  <c:v>1953</c:v>
                </c:pt>
                <c:pt idx="30">
                  <c:v>2052</c:v>
                </c:pt>
                <c:pt idx="31">
                  <c:v>1758</c:v>
                </c:pt>
                <c:pt idx="32">
                  <c:v>1527</c:v>
                </c:pt>
                <c:pt idx="33">
                  <c:v>1138</c:v>
                </c:pt>
                <c:pt idx="34" formatCode="General">
                  <c:v>916</c:v>
                </c:pt>
                <c:pt idx="35" formatCode="General">
                  <c:v>626</c:v>
                </c:pt>
                <c:pt idx="36" formatCode="General">
                  <c:v>463</c:v>
                </c:pt>
                <c:pt idx="37" formatCode="General">
                  <c:v>434</c:v>
                </c:pt>
                <c:pt idx="38" formatCode="General">
                  <c:v>332</c:v>
                </c:pt>
                <c:pt idx="39" formatCode="General">
                  <c:v>277</c:v>
                </c:pt>
                <c:pt idx="40" formatCode="General">
                  <c:v>287</c:v>
                </c:pt>
                <c:pt idx="41" formatCode="General">
                  <c:v>259</c:v>
                </c:pt>
                <c:pt idx="42" formatCode="General">
                  <c:v>239</c:v>
                </c:pt>
                <c:pt idx="43" formatCode="General">
                  <c:v>305</c:v>
                </c:pt>
                <c:pt idx="44" formatCode="General">
                  <c:v>329</c:v>
                </c:pt>
                <c:pt idx="45" formatCode="General">
                  <c:v>410</c:v>
                </c:pt>
                <c:pt idx="46" formatCode="General">
                  <c:v>480</c:v>
                </c:pt>
                <c:pt idx="47" formatCode="General">
                  <c:v>741</c:v>
                </c:pt>
                <c:pt idx="48">
                  <c:v>1837</c:v>
                </c:pt>
                <c:pt idx="49">
                  <c:v>3865</c:v>
                </c:pt>
                <c:pt idx="50">
                  <c:v>4424</c:v>
                </c:pt>
                <c:pt idx="51">
                  <c:v>4067</c:v>
                </c:pt>
                <c:pt idx="52">
                  <c:v>3420</c:v>
                </c:pt>
                <c:pt idx="53">
                  <c:v>2452</c:v>
                </c:pt>
                <c:pt idx="54">
                  <c:v>1863</c:v>
                </c:pt>
                <c:pt idx="55">
                  <c:v>1282</c:v>
                </c:pt>
                <c:pt idx="56">
                  <c:v>1082</c:v>
                </c:pt>
                <c:pt idx="57" formatCode="General">
                  <c:v>843</c:v>
                </c:pt>
                <c:pt idx="58" formatCode="General">
                  <c:v>580</c:v>
                </c:pt>
                <c:pt idx="59" formatCode="General">
                  <c:v>580</c:v>
                </c:pt>
                <c:pt idx="60" formatCode="General">
                  <c:v>506</c:v>
                </c:pt>
                <c:pt idx="61" formatCode="General">
                  <c:v>460</c:v>
                </c:pt>
                <c:pt idx="62" formatCode="General">
                  <c:v>432</c:v>
                </c:pt>
                <c:pt idx="63" formatCode="General">
                  <c:v>375</c:v>
                </c:pt>
                <c:pt idx="64" formatCode="General">
                  <c:v>339</c:v>
                </c:pt>
                <c:pt idx="65" formatCode="General">
                  <c:v>372</c:v>
                </c:pt>
                <c:pt idx="66" formatCode="General">
                  <c:v>435</c:v>
                </c:pt>
                <c:pt idx="67" formatCode="General">
                  <c:v>446</c:v>
                </c:pt>
                <c:pt idx="68" formatCode="General">
                  <c:v>431</c:v>
                </c:pt>
                <c:pt idx="69" formatCode="General">
                  <c:v>387</c:v>
                </c:pt>
                <c:pt idx="70" formatCode="General">
                  <c:v>358</c:v>
                </c:pt>
                <c:pt idx="71" formatCode="General">
                  <c:v>334</c:v>
                </c:pt>
                <c:pt idx="72" formatCode="General">
                  <c:v>362</c:v>
                </c:pt>
                <c:pt idx="73" formatCode="General">
                  <c:v>462</c:v>
                </c:pt>
                <c:pt idx="74" formatCode="General">
                  <c:v>494</c:v>
                </c:pt>
                <c:pt idx="75" formatCode="General">
                  <c:v>641</c:v>
                </c:pt>
                <c:pt idx="76" formatCode="General">
                  <c:v>942</c:v>
                </c:pt>
                <c:pt idx="77">
                  <c:v>1325</c:v>
                </c:pt>
                <c:pt idx="78">
                  <c:v>1882</c:v>
                </c:pt>
                <c:pt idx="79">
                  <c:v>2162</c:v>
                </c:pt>
                <c:pt idx="80">
                  <c:v>2875</c:v>
                </c:pt>
                <c:pt idx="81">
                  <c:v>87571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F9A-8243-82B6-229C93069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7872"/>
        <c:axId val="395579584"/>
      </c:scatterChart>
      <c:valAx>
        <c:axId val="395577872"/>
        <c:scaling>
          <c:orientation val="minMax"/>
          <c:max val="2022"/>
          <c:min val="194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95579584"/>
        <c:crosses val="autoZero"/>
        <c:crossBetween val="midCat"/>
      </c:valAx>
      <c:valAx>
        <c:axId val="395579584"/>
        <c:scaling>
          <c:orientation val="minMax"/>
          <c:max val="6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9557787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6762542421050887E-2"/>
          <c:y val="0.91998067549248652"/>
          <c:w val="0.84742003236893315"/>
          <c:h val="8.0019324507513478E-2"/>
        </c:manualLayout>
      </c:layout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8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PS, EL and Late Diagnoses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14666649399089"/>
          <c:y val="0.10322872993148582"/>
          <c:w val="0.87089660126202473"/>
          <c:h val="0.68082835799371233"/>
        </c:manualLayout>
      </c:layout>
      <c:scatterChart>
        <c:scatterStyle val="smoothMarker"/>
        <c:varyColors val="0"/>
        <c:ser>
          <c:idx val="2"/>
          <c:order val="0"/>
          <c:tx>
            <c:strRef>
              <c:f>Sheet1!$E$10</c:f>
              <c:strCache>
                <c:ptCount val="1"/>
                <c:pt idx="0">
                  <c:v>Primary and
Secondary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Sheet1!$B$41:$B$94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xVal>
          <c:yVal>
            <c:numRef>
              <c:f>Sheet1!$E$41:$E$94</c:f>
              <c:numCache>
                <c:formatCode>#,##0</c:formatCode>
                <c:ptCount val="54"/>
                <c:pt idx="0">
                  <c:v>21982</c:v>
                </c:pt>
                <c:pt idx="1">
                  <c:v>23783</c:v>
                </c:pt>
                <c:pt idx="2">
                  <c:v>24429</c:v>
                </c:pt>
                <c:pt idx="3">
                  <c:v>24825</c:v>
                </c:pt>
                <c:pt idx="4">
                  <c:v>25385</c:v>
                </c:pt>
                <c:pt idx="5">
                  <c:v>25561</c:v>
                </c:pt>
                <c:pt idx="6">
                  <c:v>23731</c:v>
                </c:pt>
                <c:pt idx="7">
                  <c:v>20399</c:v>
                </c:pt>
                <c:pt idx="8">
                  <c:v>21656</c:v>
                </c:pt>
                <c:pt idx="9">
                  <c:v>24874</c:v>
                </c:pt>
                <c:pt idx="10">
                  <c:v>27204</c:v>
                </c:pt>
                <c:pt idx="11">
                  <c:v>31266</c:v>
                </c:pt>
                <c:pt idx="12">
                  <c:v>33613</c:v>
                </c:pt>
                <c:pt idx="13">
                  <c:v>32698</c:v>
                </c:pt>
                <c:pt idx="14">
                  <c:v>28607</c:v>
                </c:pt>
                <c:pt idx="15">
                  <c:v>27131</c:v>
                </c:pt>
                <c:pt idx="16">
                  <c:v>27667</c:v>
                </c:pt>
                <c:pt idx="17">
                  <c:v>35585</c:v>
                </c:pt>
                <c:pt idx="18">
                  <c:v>40474</c:v>
                </c:pt>
                <c:pt idx="19">
                  <c:v>45826</c:v>
                </c:pt>
                <c:pt idx="20">
                  <c:v>50578</c:v>
                </c:pt>
                <c:pt idx="21">
                  <c:v>42950</c:v>
                </c:pt>
                <c:pt idx="22">
                  <c:v>34009</c:v>
                </c:pt>
                <c:pt idx="23">
                  <c:v>26527</c:v>
                </c:pt>
                <c:pt idx="24">
                  <c:v>20641</c:v>
                </c:pt>
                <c:pt idx="25">
                  <c:v>16543</c:v>
                </c:pt>
                <c:pt idx="26">
                  <c:v>11405</c:v>
                </c:pt>
                <c:pt idx="27">
                  <c:v>8556</c:v>
                </c:pt>
                <c:pt idx="28">
                  <c:v>7007</c:v>
                </c:pt>
                <c:pt idx="29">
                  <c:v>6617</c:v>
                </c:pt>
                <c:pt idx="30">
                  <c:v>5979</c:v>
                </c:pt>
                <c:pt idx="31">
                  <c:v>6103</c:v>
                </c:pt>
                <c:pt idx="32">
                  <c:v>6862</c:v>
                </c:pt>
                <c:pt idx="33">
                  <c:v>7177</c:v>
                </c:pt>
                <c:pt idx="34">
                  <c:v>7980</c:v>
                </c:pt>
                <c:pt idx="35">
                  <c:v>8724</c:v>
                </c:pt>
                <c:pt idx="36">
                  <c:v>9756</c:v>
                </c:pt>
                <c:pt idx="37">
                  <c:v>11466</c:v>
                </c:pt>
                <c:pt idx="38">
                  <c:v>13500</c:v>
                </c:pt>
                <c:pt idx="39">
                  <c:v>13997</c:v>
                </c:pt>
                <c:pt idx="40">
                  <c:v>13774</c:v>
                </c:pt>
                <c:pt idx="41">
                  <c:v>13970</c:v>
                </c:pt>
                <c:pt idx="42">
                  <c:v>15667</c:v>
                </c:pt>
                <c:pt idx="43">
                  <c:v>17375</c:v>
                </c:pt>
                <c:pt idx="44">
                  <c:v>19999</c:v>
                </c:pt>
                <c:pt idx="45">
                  <c:v>23872</c:v>
                </c:pt>
                <c:pt idx="46">
                  <c:v>27814</c:v>
                </c:pt>
                <c:pt idx="47">
                  <c:v>30644</c:v>
                </c:pt>
                <c:pt idx="48">
                  <c:v>35063</c:v>
                </c:pt>
                <c:pt idx="49">
                  <c:v>38992</c:v>
                </c:pt>
                <c:pt idx="50">
                  <c:v>41655</c:v>
                </c:pt>
                <c:pt idx="51">
                  <c:v>53767</c:v>
                </c:pt>
                <c:pt idx="52">
                  <c:v>3769</c:v>
                </c:pt>
                <c:pt idx="53">
                  <c:v>3882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F8-994C-9E4C-25FF7BF7AE9D}"/>
            </c:ext>
          </c:extLst>
        </c:ser>
        <c:ser>
          <c:idx val="3"/>
          <c:order val="1"/>
          <c:tx>
            <c:strRef>
              <c:f>Sheet1!$G$10</c:f>
              <c:strCache>
                <c:ptCount val="1"/>
                <c:pt idx="0">
                  <c:v>Early
Non-Primary Non-Secondary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Sheet1!$B$41:$B$94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xVal>
          <c:yVal>
            <c:numRef>
              <c:f>Sheet1!$G$41:$G$94</c:f>
              <c:numCache>
                <c:formatCode>#,##0</c:formatCode>
                <c:ptCount val="54"/>
                <c:pt idx="0">
                  <c:v>16311</c:v>
                </c:pt>
                <c:pt idx="1">
                  <c:v>19417</c:v>
                </c:pt>
                <c:pt idx="2">
                  <c:v>20784</c:v>
                </c:pt>
                <c:pt idx="3">
                  <c:v>23584</c:v>
                </c:pt>
                <c:pt idx="4">
                  <c:v>25124</c:v>
                </c:pt>
                <c:pt idx="5">
                  <c:v>26569</c:v>
                </c:pt>
                <c:pt idx="6">
                  <c:v>25363</c:v>
                </c:pt>
                <c:pt idx="7">
                  <c:v>21329</c:v>
                </c:pt>
                <c:pt idx="8">
                  <c:v>19628</c:v>
                </c:pt>
                <c:pt idx="9">
                  <c:v>20459</c:v>
                </c:pt>
                <c:pt idx="10">
                  <c:v>20297</c:v>
                </c:pt>
                <c:pt idx="11">
                  <c:v>21033</c:v>
                </c:pt>
                <c:pt idx="12">
                  <c:v>21894</c:v>
                </c:pt>
                <c:pt idx="13">
                  <c:v>23738</c:v>
                </c:pt>
                <c:pt idx="14">
                  <c:v>23131</c:v>
                </c:pt>
                <c:pt idx="15">
                  <c:v>21689</c:v>
                </c:pt>
                <c:pt idx="16">
                  <c:v>21656</c:v>
                </c:pt>
                <c:pt idx="17">
                  <c:v>28233</c:v>
                </c:pt>
                <c:pt idx="18">
                  <c:v>35968</c:v>
                </c:pt>
                <c:pt idx="19">
                  <c:v>45394</c:v>
                </c:pt>
                <c:pt idx="20">
                  <c:v>55397</c:v>
                </c:pt>
                <c:pt idx="21">
                  <c:v>53855</c:v>
                </c:pt>
                <c:pt idx="22">
                  <c:v>49929</c:v>
                </c:pt>
                <c:pt idx="23">
                  <c:v>41919</c:v>
                </c:pt>
                <c:pt idx="24">
                  <c:v>32017</c:v>
                </c:pt>
                <c:pt idx="25">
                  <c:v>26657</c:v>
                </c:pt>
                <c:pt idx="26">
                  <c:v>20187</c:v>
                </c:pt>
                <c:pt idx="27">
                  <c:v>16631</c:v>
                </c:pt>
                <c:pt idx="28">
                  <c:v>12696</c:v>
                </c:pt>
                <c:pt idx="29">
                  <c:v>11534</c:v>
                </c:pt>
                <c:pt idx="30">
                  <c:v>9465</c:v>
                </c:pt>
                <c:pt idx="31">
                  <c:v>8701</c:v>
                </c:pt>
                <c:pt idx="32">
                  <c:v>8429</c:v>
                </c:pt>
                <c:pt idx="33">
                  <c:v>8361</c:v>
                </c:pt>
                <c:pt idx="34">
                  <c:v>7768</c:v>
                </c:pt>
                <c:pt idx="35">
                  <c:v>8176</c:v>
                </c:pt>
                <c:pt idx="36">
                  <c:v>9186</c:v>
                </c:pt>
                <c:pt idx="37">
                  <c:v>10768</c:v>
                </c:pt>
                <c:pt idx="38">
                  <c:v>12401</c:v>
                </c:pt>
                <c:pt idx="39">
                  <c:v>13066</c:v>
                </c:pt>
                <c:pt idx="40">
                  <c:v>13604</c:v>
                </c:pt>
                <c:pt idx="41">
                  <c:v>13136</c:v>
                </c:pt>
                <c:pt idx="42">
                  <c:v>14503</c:v>
                </c:pt>
                <c:pt idx="43">
                  <c:v>16929</c:v>
                </c:pt>
                <c:pt idx="44">
                  <c:v>19452</c:v>
                </c:pt>
                <c:pt idx="45">
                  <c:v>24173</c:v>
                </c:pt>
                <c:pt idx="46">
                  <c:v>28924</c:v>
                </c:pt>
                <c:pt idx="47">
                  <c:v>34013</c:v>
                </c:pt>
                <c:pt idx="48">
                  <c:v>38539</c:v>
                </c:pt>
                <c:pt idx="49">
                  <c:v>41655</c:v>
                </c:pt>
                <c:pt idx="50">
                  <c:v>43145</c:v>
                </c:pt>
                <c:pt idx="51">
                  <c:v>51830</c:v>
                </c:pt>
                <c:pt idx="52">
                  <c:v>59016</c:v>
                </c:pt>
                <c:pt idx="53">
                  <c:v>53007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F8-994C-9E4C-25FF7BF7AE9D}"/>
            </c:ext>
          </c:extLst>
        </c:ser>
        <c:ser>
          <c:idx val="4"/>
          <c:order val="2"/>
          <c:tx>
            <c:strRef>
              <c:f>Sheet1!$I$10</c:f>
              <c:strCache>
                <c:ptCount val="1"/>
                <c:pt idx="0">
                  <c:v>Unknown Duration
or Late§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Sheet1!$B$41:$B$94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xVal>
          <c:yVal>
            <c:numRef>
              <c:f>Sheet1!$I$41:$I$94</c:f>
              <c:numCache>
                <c:formatCode>#,##0</c:formatCode>
                <c:ptCount val="54"/>
                <c:pt idx="0">
                  <c:v>50348</c:v>
                </c:pt>
                <c:pt idx="1">
                  <c:v>49993</c:v>
                </c:pt>
                <c:pt idx="2">
                  <c:v>43456</c:v>
                </c:pt>
                <c:pt idx="3">
                  <c:v>37054</c:v>
                </c:pt>
                <c:pt idx="4">
                  <c:v>31854</c:v>
                </c:pt>
                <c:pt idx="5">
                  <c:v>27096</c:v>
                </c:pt>
                <c:pt idx="6">
                  <c:v>21905</c:v>
                </c:pt>
                <c:pt idx="7">
                  <c:v>22313</c:v>
                </c:pt>
                <c:pt idx="8">
                  <c:v>23038</c:v>
                </c:pt>
                <c:pt idx="9">
                  <c:v>21301</c:v>
                </c:pt>
                <c:pt idx="10">
                  <c:v>20979</c:v>
                </c:pt>
                <c:pt idx="11">
                  <c:v>20168</c:v>
                </c:pt>
                <c:pt idx="12">
                  <c:v>19779</c:v>
                </c:pt>
                <c:pt idx="13">
                  <c:v>17896</c:v>
                </c:pt>
                <c:pt idx="14">
                  <c:v>17829</c:v>
                </c:pt>
                <c:pt idx="15">
                  <c:v>18414</c:v>
                </c:pt>
                <c:pt idx="16">
                  <c:v>18046</c:v>
                </c:pt>
                <c:pt idx="17">
                  <c:v>22988</c:v>
                </c:pt>
                <c:pt idx="18">
                  <c:v>27363</c:v>
                </c:pt>
                <c:pt idx="19">
                  <c:v>22032</c:v>
                </c:pt>
                <c:pt idx="20">
                  <c:v>25750</c:v>
                </c:pt>
                <c:pt idx="21">
                  <c:v>27490</c:v>
                </c:pt>
                <c:pt idx="22">
                  <c:v>26725</c:v>
                </c:pt>
                <c:pt idx="23">
                  <c:v>30746</c:v>
                </c:pt>
                <c:pt idx="24">
                  <c:v>27603</c:v>
                </c:pt>
                <c:pt idx="25">
                  <c:v>24296</c:v>
                </c:pt>
                <c:pt idx="26">
                  <c:v>20366</c:v>
                </c:pt>
                <c:pt idx="27">
                  <c:v>20447</c:v>
                </c:pt>
                <c:pt idx="28">
                  <c:v>17743</c:v>
                </c:pt>
                <c:pt idx="29">
                  <c:v>16655</c:v>
                </c:pt>
                <c:pt idx="30">
                  <c:v>15594</c:v>
                </c:pt>
                <c:pt idx="31">
                  <c:v>16976</c:v>
                </c:pt>
                <c:pt idx="32">
                  <c:v>17168</c:v>
                </c:pt>
                <c:pt idx="33">
                  <c:v>18319</c:v>
                </c:pt>
                <c:pt idx="34">
                  <c:v>17300</c:v>
                </c:pt>
                <c:pt idx="35">
                  <c:v>16049</c:v>
                </c:pt>
                <c:pt idx="36">
                  <c:v>17644</c:v>
                </c:pt>
                <c:pt idx="37">
                  <c:v>18256</c:v>
                </c:pt>
                <c:pt idx="38">
                  <c:v>19945</c:v>
                </c:pt>
                <c:pt idx="39">
                  <c:v>17338</c:v>
                </c:pt>
                <c:pt idx="40">
                  <c:v>18079</c:v>
                </c:pt>
                <c:pt idx="41">
                  <c:v>18576</c:v>
                </c:pt>
                <c:pt idx="42">
                  <c:v>19411</c:v>
                </c:pt>
                <c:pt idx="43">
                  <c:v>21819</c:v>
                </c:pt>
                <c:pt idx="44">
                  <c:v>23541</c:v>
                </c:pt>
                <c:pt idx="45">
                  <c:v>26170</c:v>
                </c:pt>
                <c:pt idx="46">
                  <c:v>30676</c:v>
                </c:pt>
                <c:pt idx="47">
                  <c:v>35992</c:v>
                </c:pt>
                <c:pt idx="48">
                  <c:v>40137</c:v>
                </c:pt>
                <c:pt idx="49">
                  <c:v>47296</c:v>
                </c:pt>
                <c:pt idx="50">
                  <c:v>46997</c:v>
                </c:pt>
                <c:pt idx="51">
                  <c:v>68261</c:v>
                </c:pt>
                <c:pt idx="52">
                  <c:v>56913</c:v>
                </c:pt>
                <c:pt idx="53">
                  <c:v>53573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F8-994C-9E4C-25FF7BF7A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7872"/>
        <c:axId val="395579584"/>
      </c:scatterChart>
      <c:valAx>
        <c:axId val="395577872"/>
        <c:scaling>
          <c:orientation val="minMax"/>
          <c:max val="2023"/>
          <c:min val="1970"/>
        </c:scaling>
        <c:delete val="0"/>
        <c:axPos val="b"/>
        <c:min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95579584"/>
        <c:crosses val="autoZero"/>
        <c:crossBetween val="midCat"/>
        <c:majorUnit val="5"/>
        <c:minorUnit val="1"/>
      </c:valAx>
      <c:valAx>
        <c:axId val="395579584"/>
        <c:scaling>
          <c:orientation val="minMax"/>
          <c:max val="6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9557787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6762542421050887E-2"/>
          <c:y val="0.91998067549248652"/>
          <c:w val="0.84742003236893315"/>
          <c:h val="8.0019324507513478E-2"/>
        </c:manualLayout>
      </c:layout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8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US syphilis Epidemic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14666649399089"/>
          <c:y val="0.10322872993148582"/>
          <c:w val="0.87089660126202473"/>
          <c:h val="0.6808283579937123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Sheet1!$C$10</c:f>
              <c:strCache>
                <c:ptCount val="1"/>
                <c:pt idx="0">
                  <c:v>Total</c:v>
                </c:pt>
              </c:strCache>
            </c:strRef>
          </c:tx>
          <c:spPr>
            <a:ln w="63500"/>
          </c:spPr>
          <c:marker>
            <c:symbol val="none"/>
          </c:marker>
          <c:xVal>
            <c:numRef>
              <c:f>Sheet1!$B$21:$B$94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</c:numCache>
            </c:numRef>
          </c:xVal>
          <c:yVal>
            <c:numRef>
              <c:f>Sheet1!$C$21:$C$94</c:f>
              <c:numCache>
                <c:formatCode>#,##0</c:formatCode>
                <c:ptCount val="74"/>
                <c:pt idx="0">
                  <c:v>217558</c:v>
                </c:pt>
                <c:pt idx="1">
                  <c:v>174924</c:v>
                </c:pt>
                <c:pt idx="2">
                  <c:v>167762</c:v>
                </c:pt>
                <c:pt idx="3">
                  <c:v>148573</c:v>
                </c:pt>
                <c:pt idx="4">
                  <c:v>130697</c:v>
                </c:pt>
                <c:pt idx="5">
                  <c:v>122392</c:v>
                </c:pt>
                <c:pt idx="6">
                  <c:v>130201</c:v>
                </c:pt>
                <c:pt idx="7">
                  <c:v>123758</c:v>
                </c:pt>
                <c:pt idx="8">
                  <c:v>113884</c:v>
                </c:pt>
                <c:pt idx="9">
                  <c:v>120824</c:v>
                </c:pt>
                <c:pt idx="10">
                  <c:v>122538</c:v>
                </c:pt>
                <c:pt idx="11">
                  <c:v>124658</c:v>
                </c:pt>
                <c:pt idx="12">
                  <c:v>126245</c:v>
                </c:pt>
                <c:pt idx="13">
                  <c:v>124137</c:v>
                </c:pt>
                <c:pt idx="14">
                  <c:v>114325</c:v>
                </c:pt>
                <c:pt idx="15">
                  <c:v>112842</c:v>
                </c:pt>
                <c:pt idx="16">
                  <c:v>105159</c:v>
                </c:pt>
                <c:pt idx="17">
                  <c:v>102581</c:v>
                </c:pt>
                <c:pt idx="18">
                  <c:v>96271</c:v>
                </c:pt>
                <c:pt idx="19">
                  <c:v>92162</c:v>
                </c:pt>
                <c:pt idx="20">
                  <c:v>91382</c:v>
                </c:pt>
                <c:pt idx="21">
                  <c:v>95997</c:v>
                </c:pt>
                <c:pt idx="22">
                  <c:v>91149</c:v>
                </c:pt>
                <c:pt idx="23">
                  <c:v>87469</c:v>
                </c:pt>
                <c:pt idx="24">
                  <c:v>83771</c:v>
                </c:pt>
                <c:pt idx="25">
                  <c:v>80356</c:v>
                </c:pt>
                <c:pt idx="26">
                  <c:v>71761</c:v>
                </c:pt>
                <c:pt idx="27">
                  <c:v>64621</c:v>
                </c:pt>
                <c:pt idx="28">
                  <c:v>64875</c:v>
                </c:pt>
                <c:pt idx="29">
                  <c:v>67049</c:v>
                </c:pt>
                <c:pt idx="30">
                  <c:v>68832</c:v>
                </c:pt>
                <c:pt idx="31">
                  <c:v>72799</c:v>
                </c:pt>
                <c:pt idx="32">
                  <c:v>75579</c:v>
                </c:pt>
                <c:pt idx="33">
                  <c:v>74637</c:v>
                </c:pt>
                <c:pt idx="34">
                  <c:v>69872</c:v>
                </c:pt>
                <c:pt idx="35">
                  <c:v>67563</c:v>
                </c:pt>
                <c:pt idx="36">
                  <c:v>67779</c:v>
                </c:pt>
                <c:pt idx="37">
                  <c:v>87286</c:v>
                </c:pt>
                <c:pt idx="38">
                  <c:v>104546</c:v>
                </c:pt>
                <c:pt idx="39">
                  <c:v>115089</c:v>
                </c:pt>
                <c:pt idx="40">
                  <c:v>135590</c:v>
                </c:pt>
                <c:pt idx="41">
                  <c:v>128719</c:v>
                </c:pt>
                <c:pt idx="42">
                  <c:v>114730</c:v>
                </c:pt>
                <c:pt idx="43">
                  <c:v>102612</c:v>
                </c:pt>
                <c:pt idx="44">
                  <c:v>82713</c:v>
                </c:pt>
                <c:pt idx="45">
                  <c:v>69359</c:v>
                </c:pt>
                <c:pt idx="46">
                  <c:v>53240</c:v>
                </c:pt>
                <c:pt idx="47">
                  <c:v>46716</c:v>
                </c:pt>
                <c:pt idx="48">
                  <c:v>38289</c:v>
                </c:pt>
                <c:pt idx="49">
                  <c:v>35386</c:v>
                </c:pt>
                <c:pt idx="50">
                  <c:v>31618</c:v>
                </c:pt>
                <c:pt idx="51">
                  <c:v>32286</c:v>
                </c:pt>
                <c:pt idx="52">
                  <c:v>32919</c:v>
                </c:pt>
                <c:pt idx="53">
                  <c:v>34289</c:v>
                </c:pt>
                <c:pt idx="54">
                  <c:v>33423</c:v>
                </c:pt>
                <c:pt idx="55">
                  <c:v>33288</c:v>
                </c:pt>
                <c:pt idx="56">
                  <c:v>36958</c:v>
                </c:pt>
                <c:pt idx="57">
                  <c:v>40925</c:v>
                </c:pt>
                <c:pt idx="58">
                  <c:v>46292</c:v>
                </c:pt>
                <c:pt idx="59">
                  <c:v>44832</c:v>
                </c:pt>
                <c:pt idx="60">
                  <c:v>45844</c:v>
                </c:pt>
                <c:pt idx="61">
                  <c:v>46040</c:v>
                </c:pt>
                <c:pt idx="62">
                  <c:v>49915</c:v>
                </c:pt>
                <c:pt idx="63">
                  <c:v>56485</c:v>
                </c:pt>
                <c:pt idx="64">
                  <c:v>63454</c:v>
                </c:pt>
                <c:pt idx="65">
                  <c:v>74709</c:v>
                </c:pt>
                <c:pt idx="66">
                  <c:v>88055</c:v>
                </c:pt>
                <c:pt idx="67">
                  <c:v>101591</c:v>
                </c:pt>
                <c:pt idx="68">
                  <c:v>115064</c:v>
                </c:pt>
                <c:pt idx="69">
                  <c:v>129825</c:v>
                </c:pt>
                <c:pt idx="70">
                  <c:v>133959</c:v>
                </c:pt>
                <c:pt idx="71">
                  <c:v>176733</c:v>
                </c:pt>
                <c:pt idx="72">
                  <c:v>207269</c:v>
                </c:pt>
                <c:pt idx="73">
                  <c:v>209253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22-A648-9E96-76E136A6BB25}"/>
            </c:ext>
          </c:extLst>
        </c:ser>
        <c:ser>
          <c:idx val="2"/>
          <c:order val="1"/>
          <c:tx>
            <c:strRef>
              <c:f>Sheet1!$E$10</c:f>
              <c:strCache>
                <c:ptCount val="1"/>
                <c:pt idx="0">
                  <c:v>Primary and
Secondary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Sheet1!$E$12:$E$93</c:f>
              <c:numCache>
                <c:formatCode>#,##0</c:formatCode>
                <c:ptCount val="82"/>
                <c:pt idx="0">
                  <c:v>68231</c:v>
                </c:pt>
                <c:pt idx="1">
                  <c:v>75312</c:v>
                </c:pt>
                <c:pt idx="2">
                  <c:v>82204</c:v>
                </c:pt>
                <c:pt idx="3">
                  <c:v>78443</c:v>
                </c:pt>
                <c:pt idx="4">
                  <c:v>77007</c:v>
                </c:pt>
                <c:pt idx="5">
                  <c:v>94957</c:v>
                </c:pt>
                <c:pt idx="6">
                  <c:v>93545</c:v>
                </c:pt>
                <c:pt idx="7">
                  <c:v>68174</c:v>
                </c:pt>
                <c:pt idx="8">
                  <c:v>41942</c:v>
                </c:pt>
                <c:pt idx="9">
                  <c:v>23939</c:v>
                </c:pt>
                <c:pt idx="10">
                  <c:v>14485</c:v>
                </c:pt>
                <c:pt idx="11">
                  <c:v>10449</c:v>
                </c:pt>
                <c:pt idx="12">
                  <c:v>8637</c:v>
                </c:pt>
                <c:pt idx="13">
                  <c:v>7147</c:v>
                </c:pt>
                <c:pt idx="14">
                  <c:v>6454</c:v>
                </c:pt>
                <c:pt idx="15">
                  <c:v>6392</c:v>
                </c:pt>
                <c:pt idx="16">
                  <c:v>6576</c:v>
                </c:pt>
                <c:pt idx="17">
                  <c:v>7176</c:v>
                </c:pt>
                <c:pt idx="18">
                  <c:v>9799</c:v>
                </c:pt>
                <c:pt idx="19">
                  <c:v>16145</c:v>
                </c:pt>
                <c:pt idx="20">
                  <c:v>19851</c:v>
                </c:pt>
                <c:pt idx="21">
                  <c:v>21067</c:v>
                </c:pt>
                <c:pt idx="22">
                  <c:v>22251</c:v>
                </c:pt>
                <c:pt idx="23">
                  <c:v>22969</c:v>
                </c:pt>
                <c:pt idx="24">
                  <c:v>23338</c:v>
                </c:pt>
                <c:pt idx="25">
                  <c:v>21414</c:v>
                </c:pt>
                <c:pt idx="26">
                  <c:v>21053</c:v>
                </c:pt>
                <c:pt idx="27">
                  <c:v>19019</c:v>
                </c:pt>
                <c:pt idx="28">
                  <c:v>19130</c:v>
                </c:pt>
                <c:pt idx="29">
                  <c:v>21982</c:v>
                </c:pt>
                <c:pt idx="30">
                  <c:v>23783</c:v>
                </c:pt>
                <c:pt idx="31">
                  <c:v>24429</c:v>
                </c:pt>
                <c:pt idx="32">
                  <c:v>24825</c:v>
                </c:pt>
                <c:pt idx="33">
                  <c:v>25385</c:v>
                </c:pt>
                <c:pt idx="34">
                  <c:v>25561</c:v>
                </c:pt>
                <c:pt idx="35">
                  <c:v>23731</c:v>
                </c:pt>
                <c:pt idx="36">
                  <c:v>20399</c:v>
                </c:pt>
                <c:pt idx="37">
                  <c:v>21656</c:v>
                </c:pt>
                <c:pt idx="38">
                  <c:v>24874</c:v>
                </c:pt>
                <c:pt idx="39">
                  <c:v>27204</c:v>
                </c:pt>
                <c:pt idx="40">
                  <c:v>31266</c:v>
                </c:pt>
                <c:pt idx="41">
                  <c:v>33613</c:v>
                </c:pt>
                <c:pt idx="42">
                  <c:v>32698</c:v>
                </c:pt>
                <c:pt idx="43">
                  <c:v>28607</c:v>
                </c:pt>
                <c:pt idx="44">
                  <c:v>27131</c:v>
                </c:pt>
                <c:pt idx="45">
                  <c:v>27667</c:v>
                </c:pt>
                <c:pt idx="46">
                  <c:v>35585</c:v>
                </c:pt>
                <c:pt idx="47">
                  <c:v>40474</c:v>
                </c:pt>
                <c:pt idx="48">
                  <c:v>45826</c:v>
                </c:pt>
                <c:pt idx="49">
                  <c:v>50578</c:v>
                </c:pt>
                <c:pt idx="50">
                  <c:v>42950</c:v>
                </c:pt>
                <c:pt idx="51">
                  <c:v>34009</c:v>
                </c:pt>
                <c:pt idx="52">
                  <c:v>26527</c:v>
                </c:pt>
                <c:pt idx="53">
                  <c:v>20641</c:v>
                </c:pt>
                <c:pt idx="54">
                  <c:v>16543</c:v>
                </c:pt>
                <c:pt idx="55">
                  <c:v>11405</c:v>
                </c:pt>
                <c:pt idx="56">
                  <c:v>8556</c:v>
                </c:pt>
                <c:pt idx="57">
                  <c:v>7007</c:v>
                </c:pt>
                <c:pt idx="58">
                  <c:v>6617</c:v>
                </c:pt>
                <c:pt idx="59">
                  <c:v>5979</c:v>
                </c:pt>
                <c:pt idx="60">
                  <c:v>6103</c:v>
                </c:pt>
                <c:pt idx="61">
                  <c:v>6862</c:v>
                </c:pt>
                <c:pt idx="62">
                  <c:v>7177</c:v>
                </c:pt>
                <c:pt idx="63">
                  <c:v>7980</c:v>
                </c:pt>
                <c:pt idx="64">
                  <c:v>8724</c:v>
                </c:pt>
                <c:pt idx="65">
                  <c:v>9756</c:v>
                </c:pt>
                <c:pt idx="66">
                  <c:v>11466</c:v>
                </c:pt>
                <c:pt idx="67">
                  <c:v>13500</c:v>
                </c:pt>
                <c:pt idx="68">
                  <c:v>13997</c:v>
                </c:pt>
                <c:pt idx="69">
                  <c:v>13774</c:v>
                </c:pt>
                <c:pt idx="70">
                  <c:v>13970</c:v>
                </c:pt>
                <c:pt idx="71">
                  <c:v>15667</c:v>
                </c:pt>
                <c:pt idx="72">
                  <c:v>17375</c:v>
                </c:pt>
                <c:pt idx="73">
                  <c:v>19999</c:v>
                </c:pt>
                <c:pt idx="74">
                  <c:v>23872</c:v>
                </c:pt>
                <c:pt idx="75">
                  <c:v>27814</c:v>
                </c:pt>
                <c:pt idx="76">
                  <c:v>30644</c:v>
                </c:pt>
                <c:pt idx="77">
                  <c:v>35063</c:v>
                </c:pt>
                <c:pt idx="78">
                  <c:v>38992</c:v>
                </c:pt>
                <c:pt idx="79">
                  <c:v>41655</c:v>
                </c:pt>
                <c:pt idx="80">
                  <c:v>53767</c:v>
                </c:pt>
                <c:pt idx="81">
                  <c:v>3769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22-A648-9E96-76E136A6BB25}"/>
            </c:ext>
          </c:extLst>
        </c:ser>
        <c:ser>
          <c:idx val="3"/>
          <c:order val="2"/>
          <c:tx>
            <c:strRef>
              <c:f>Sheet1!$G$10</c:f>
              <c:strCache>
                <c:ptCount val="1"/>
                <c:pt idx="0">
                  <c:v>Early
Non-Primary Non-Secondary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Sheet1!$G$12:$G$93</c:f>
              <c:numCache>
                <c:formatCode>#,##0</c:formatCode>
                <c:ptCount val="82"/>
                <c:pt idx="0">
                  <c:v>109018</c:v>
                </c:pt>
                <c:pt idx="1">
                  <c:v>116245</c:v>
                </c:pt>
                <c:pt idx="2">
                  <c:v>149390</c:v>
                </c:pt>
                <c:pt idx="3">
                  <c:v>123038</c:v>
                </c:pt>
                <c:pt idx="4">
                  <c:v>101719</c:v>
                </c:pt>
                <c:pt idx="5">
                  <c:v>107924</c:v>
                </c:pt>
                <c:pt idx="6">
                  <c:v>104124</c:v>
                </c:pt>
                <c:pt idx="7">
                  <c:v>90598</c:v>
                </c:pt>
                <c:pt idx="8">
                  <c:v>75045</c:v>
                </c:pt>
                <c:pt idx="9">
                  <c:v>59256</c:v>
                </c:pt>
                <c:pt idx="10">
                  <c:v>43316</c:v>
                </c:pt>
                <c:pt idx="11">
                  <c:v>36454</c:v>
                </c:pt>
                <c:pt idx="12">
                  <c:v>28295</c:v>
                </c:pt>
                <c:pt idx="13">
                  <c:v>23861</c:v>
                </c:pt>
                <c:pt idx="14">
                  <c:v>20054</c:v>
                </c:pt>
                <c:pt idx="15">
                  <c:v>19783</c:v>
                </c:pt>
                <c:pt idx="16">
                  <c:v>17796</c:v>
                </c:pt>
                <c:pt idx="17">
                  <c:v>16556</c:v>
                </c:pt>
                <c:pt idx="18">
                  <c:v>17025</c:v>
                </c:pt>
                <c:pt idx="19">
                  <c:v>18017</c:v>
                </c:pt>
                <c:pt idx="20">
                  <c:v>19486</c:v>
                </c:pt>
                <c:pt idx="21">
                  <c:v>19585</c:v>
                </c:pt>
                <c:pt idx="22">
                  <c:v>18235</c:v>
                </c:pt>
                <c:pt idx="23">
                  <c:v>17781</c:v>
                </c:pt>
                <c:pt idx="24">
                  <c:v>17458</c:v>
                </c:pt>
                <c:pt idx="25">
                  <c:v>15950</c:v>
                </c:pt>
                <c:pt idx="26">
                  <c:v>15554</c:v>
                </c:pt>
                <c:pt idx="27">
                  <c:v>15150</c:v>
                </c:pt>
                <c:pt idx="28">
                  <c:v>15402</c:v>
                </c:pt>
                <c:pt idx="29">
                  <c:v>16311</c:v>
                </c:pt>
                <c:pt idx="30">
                  <c:v>19417</c:v>
                </c:pt>
                <c:pt idx="31">
                  <c:v>20784</c:v>
                </c:pt>
                <c:pt idx="32">
                  <c:v>23584</c:v>
                </c:pt>
                <c:pt idx="33">
                  <c:v>25124</c:v>
                </c:pt>
                <c:pt idx="34">
                  <c:v>26569</c:v>
                </c:pt>
                <c:pt idx="35">
                  <c:v>25363</c:v>
                </c:pt>
                <c:pt idx="36">
                  <c:v>21329</c:v>
                </c:pt>
                <c:pt idx="37">
                  <c:v>19628</c:v>
                </c:pt>
                <c:pt idx="38">
                  <c:v>20459</c:v>
                </c:pt>
                <c:pt idx="39">
                  <c:v>20297</c:v>
                </c:pt>
                <c:pt idx="40">
                  <c:v>21033</c:v>
                </c:pt>
                <c:pt idx="41">
                  <c:v>21894</c:v>
                </c:pt>
                <c:pt idx="42">
                  <c:v>23738</c:v>
                </c:pt>
                <c:pt idx="43">
                  <c:v>23131</c:v>
                </c:pt>
                <c:pt idx="44">
                  <c:v>21689</c:v>
                </c:pt>
                <c:pt idx="45">
                  <c:v>21656</c:v>
                </c:pt>
                <c:pt idx="46">
                  <c:v>28233</c:v>
                </c:pt>
                <c:pt idx="47">
                  <c:v>35968</c:v>
                </c:pt>
                <c:pt idx="48">
                  <c:v>45394</c:v>
                </c:pt>
                <c:pt idx="49">
                  <c:v>55397</c:v>
                </c:pt>
                <c:pt idx="50">
                  <c:v>53855</c:v>
                </c:pt>
                <c:pt idx="51">
                  <c:v>49929</c:v>
                </c:pt>
                <c:pt idx="52">
                  <c:v>41919</c:v>
                </c:pt>
                <c:pt idx="53">
                  <c:v>32017</c:v>
                </c:pt>
                <c:pt idx="54">
                  <c:v>26657</c:v>
                </c:pt>
                <c:pt idx="55">
                  <c:v>20187</c:v>
                </c:pt>
                <c:pt idx="56">
                  <c:v>16631</c:v>
                </c:pt>
                <c:pt idx="57">
                  <c:v>12696</c:v>
                </c:pt>
                <c:pt idx="58">
                  <c:v>11534</c:v>
                </c:pt>
                <c:pt idx="59">
                  <c:v>9465</c:v>
                </c:pt>
                <c:pt idx="60">
                  <c:v>8701</c:v>
                </c:pt>
                <c:pt idx="61">
                  <c:v>8429</c:v>
                </c:pt>
                <c:pt idx="62">
                  <c:v>8361</c:v>
                </c:pt>
                <c:pt idx="63">
                  <c:v>7768</c:v>
                </c:pt>
                <c:pt idx="64">
                  <c:v>8176</c:v>
                </c:pt>
                <c:pt idx="65">
                  <c:v>9186</c:v>
                </c:pt>
                <c:pt idx="66">
                  <c:v>10768</c:v>
                </c:pt>
                <c:pt idx="67">
                  <c:v>12401</c:v>
                </c:pt>
                <c:pt idx="68">
                  <c:v>13066</c:v>
                </c:pt>
                <c:pt idx="69">
                  <c:v>13604</c:v>
                </c:pt>
                <c:pt idx="70">
                  <c:v>13136</c:v>
                </c:pt>
                <c:pt idx="71">
                  <c:v>14503</c:v>
                </c:pt>
                <c:pt idx="72">
                  <c:v>16929</c:v>
                </c:pt>
                <c:pt idx="73">
                  <c:v>19452</c:v>
                </c:pt>
                <c:pt idx="74">
                  <c:v>24173</c:v>
                </c:pt>
                <c:pt idx="75">
                  <c:v>28924</c:v>
                </c:pt>
                <c:pt idx="76">
                  <c:v>34013</c:v>
                </c:pt>
                <c:pt idx="77">
                  <c:v>38539</c:v>
                </c:pt>
                <c:pt idx="78">
                  <c:v>41655</c:v>
                </c:pt>
                <c:pt idx="79">
                  <c:v>43145</c:v>
                </c:pt>
                <c:pt idx="80">
                  <c:v>51830</c:v>
                </c:pt>
                <c:pt idx="81">
                  <c:v>59016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22-A648-9E96-76E136A6BB25}"/>
            </c:ext>
          </c:extLst>
        </c:ser>
        <c:ser>
          <c:idx val="4"/>
          <c:order val="3"/>
          <c:tx>
            <c:strRef>
              <c:f>Sheet1!$I$10</c:f>
              <c:strCache>
                <c:ptCount val="1"/>
                <c:pt idx="0">
                  <c:v>Unknown Duration
or Late§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Sheet1!$I$12:$I$93</c:f>
              <c:numCache>
                <c:formatCode>#,##0</c:formatCode>
                <c:ptCount val="82"/>
                <c:pt idx="0">
                  <c:v>202984</c:v>
                </c:pt>
                <c:pt idx="1">
                  <c:v>202064</c:v>
                </c:pt>
                <c:pt idx="2">
                  <c:v>251958</c:v>
                </c:pt>
                <c:pt idx="3">
                  <c:v>202848</c:v>
                </c:pt>
                <c:pt idx="4">
                  <c:v>142187</c:v>
                </c:pt>
                <c:pt idx="5">
                  <c:v>125248</c:v>
                </c:pt>
                <c:pt idx="6">
                  <c:v>122089</c:v>
                </c:pt>
                <c:pt idx="7">
                  <c:v>123312</c:v>
                </c:pt>
                <c:pt idx="8">
                  <c:v>116397</c:v>
                </c:pt>
                <c:pt idx="9">
                  <c:v>113569</c:v>
                </c:pt>
                <c:pt idx="10">
                  <c:v>98311</c:v>
                </c:pt>
                <c:pt idx="11">
                  <c:v>105238</c:v>
                </c:pt>
                <c:pt idx="12">
                  <c:v>98870</c:v>
                </c:pt>
                <c:pt idx="13">
                  <c:v>89123</c:v>
                </c:pt>
                <c:pt idx="14">
                  <c:v>86526</c:v>
                </c:pt>
                <c:pt idx="15">
                  <c:v>95097</c:v>
                </c:pt>
                <c:pt idx="16">
                  <c:v>91309</c:v>
                </c:pt>
                <c:pt idx="17">
                  <c:v>83027</c:v>
                </c:pt>
                <c:pt idx="18">
                  <c:v>86740</c:v>
                </c:pt>
                <c:pt idx="19">
                  <c:v>81798</c:v>
                </c:pt>
                <c:pt idx="20">
                  <c:v>79304</c:v>
                </c:pt>
                <c:pt idx="21">
                  <c:v>79533</c:v>
                </c:pt>
                <c:pt idx="22">
                  <c:v>78076</c:v>
                </c:pt>
                <c:pt idx="23">
                  <c:v>68629</c:v>
                </c:pt>
                <c:pt idx="24">
                  <c:v>67317</c:v>
                </c:pt>
                <c:pt idx="25">
                  <c:v>63541</c:v>
                </c:pt>
                <c:pt idx="26">
                  <c:v>61975</c:v>
                </c:pt>
                <c:pt idx="27">
                  <c:v>58564</c:v>
                </c:pt>
                <c:pt idx="28">
                  <c:v>54587</c:v>
                </c:pt>
                <c:pt idx="29">
                  <c:v>50348</c:v>
                </c:pt>
                <c:pt idx="30">
                  <c:v>49993</c:v>
                </c:pt>
                <c:pt idx="31">
                  <c:v>43456</c:v>
                </c:pt>
                <c:pt idx="32">
                  <c:v>37054</c:v>
                </c:pt>
                <c:pt idx="33">
                  <c:v>31854</c:v>
                </c:pt>
                <c:pt idx="34">
                  <c:v>27096</c:v>
                </c:pt>
                <c:pt idx="35">
                  <c:v>21905</c:v>
                </c:pt>
                <c:pt idx="36">
                  <c:v>22313</c:v>
                </c:pt>
                <c:pt idx="37">
                  <c:v>23038</c:v>
                </c:pt>
                <c:pt idx="38">
                  <c:v>21301</c:v>
                </c:pt>
                <c:pt idx="39">
                  <c:v>20979</c:v>
                </c:pt>
                <c:pt idx="40">
                  <c:v>20168</c:v>
                </c:pt>
                <c:pt idx="41">
                  <c:v>19779</c:v>
                </c:pt>
                <c:pt idx="42">
                  <c:v>17896</c:v>
                </c:pt>
                <c:pt idx="43">
                  <c:v>17829</c:v>
                </c:pt>
                <c:pt idx="44">
                  <c:v>18414</c:v>
                </c:pt>
                <c:pt idx="45">
                  <c:v>18046</c:v>
                </c:pt>
                <c:pt idx="46">
                  <c:v>22988</c:v>
                </c:pt>
                <c:pt idx="47">
                  <c:v>27363</c:v>
                </c:pt>
                <c:pt idx="48">
                  <c:v>22032</c:v>
                </c:pt>
                <c:pt idx="49">
                  <c:v>25750</c:v>
                </c:pt>
                <c:pt idx="50">
                  <c:v>27490</c:v>
                </c:pt>
                <c:pt idx="51">
                  <c:v>26725</c:v>
                </c:pt>
                <c:pt idx="52">
                  <c:v>30746</c:v>
                </c:pt>
                <c:pt idx="53">
                  <c:v>27603</c:v>
                </c:pt>
                <c:pt idx="54">
                  <c:v>24296</c:v>
                </c:pt>
                <c:pt idx="55">
                  <c:v>20366</c:v>
                </c:pt>
                <c:pt idx="56">
                  <c:v>20447</c:v>
                </c:pt>
                <c:pt idx="57">
                  <c:v>17743</c:v>
                </c:pt>
                <c:pt idx="58">
                  <c:v>16655</c:v>
                </c:pt>
                <c:pt idx="59">
                  <c:v>15594</c:v>
                </c:pt>
                <c:pt idx="60">
                  <c:v>16976</c:v>
                </c:pt>
                <c:pt idx="61">
                  <c:v>17168</c:v>
                </c:pt>
                <c:pt idx="62">
                  <c:v>18319</c:v>
                </c:pt>
                <c:pt idx="63">
                  <c:v>17300</c:v>
                </c:pt>
                <c:pt idx="64">
                  <c:v>16049</c:v>
                </c:pt>
                <c:pt idx="65">
                  <c:v>17644</c:v>
                </c:pt>
                <c:pt idx="66">
                  <c:v>18256</c:v>
                </c:pt>
                <c:pt idx="67">
                  <c:v>19945</c:v>
                </c:pt>
                <c:pt idx="68">
                  <c:v>17338</c:v>
                </c:pt>
                <c:pt idx="69">
                  <c:v>18079</c:v>
                </c:pt>
                <c:pt idx="70">
                  <c:v>18576</c:v>
                </c:pt>
                <c:pt idx="71">
                  <c:v>19411</c:v>
                </c:pt>
                <c:pt idx="72">
                  <c:v>21819</c:v>
                </c:pt>
                <c:pt idx="73">
                  <c:v>23541</c:v>
                </c:pt>
                <c:pt idx="74">
                  <c:v>26170</c:v>
                </c:pt>
                <c:pt idx="75">
                  <c:v>30676</c:v>
                </c:pt>
                <c:pt idx="76">
                  <c:v>35992</c:v>
                </c:pt>
                <c:pt idx="77">
                  <c:v>40137</c:v>
                </c:pt>
                <c:pt idx="78">
                  <c:v>47296</c:v>
                </c:pt>
                <c:pt idx="79">
                  <c:v>46997</c:v>
                </c:pt>
                <c:pt idx="80">
                  <c:v>68261</c:v>
                </c:pt>
                <c:pt idx="81">
                  <c:v>56913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22-A648-9E96-76E136A6BB25}"/>
            </c:ext>
          </c:extLst>
        </c:ser>
        <c:ser>
          <c:idx val="0"/>
          <c:order val="4"/>
          <c:tx>
            <c:strRef>
              <c:f>Sheet1!$K$10</c:f>
              <c:strCache>
                <c:ptCount val="1"/>
                <c:pt idx="0">
                  <c:v>Congenital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Sheet1!$B$12:$B$93</c:f>
              <c:numCache>
                <c:formatCode>General</c:formatCode>
                <c:ptCount val="82"/>
                <c:pt idx="0">
                  <c:v>1941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1948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1958</c:v>
                </c:pt>
                <c:pt idx="18">
                  <c:v>1959</c:v>
                </c:pt>
                <c:pt idx="19">
                  <c:v>1960</c:v>
                </c:pt>
                <c:pt idx="20">
                  <c:v>1961</c:v>
                </c:pt>
                <c:pt idx="21">
                  <c:v>1962</c:v>
                </c:pt>
                <c:pt idx="22">
                  <c:v>1963</c:v>
                </c:pt>
                <c:pt idx="23">
                  <c:v>1964</c:v>
                </c:pt>
                <c:pt idx="24">
                  <c:v>1965</c:v>
                </c:pt>
                <c:pt idx="25">
                  <c:v>1966</c:v>
                </c:pt>
                <c:pt idx="26">
                  <c:v>1967</c:v>
                </c:pt>
                <c:pt idx="27">
                  <c:v>1968</c:v>
                </c:pt>
                <c:pt idx="28">
                  <c:v>1969</c:v>
                </c:pt>
                <c:pt idx="29">
                  <c:v>1970</c:v>
                </c:pt>
                <c:pt idx="30">
                  <c:v>1971</c:v>
                </c:pt>
                <c:pt idx="31">
                  <c:v>1972</c:v>
                </c:pt>
                <c:pt idx="32">
                  <c:v>1973</c:v>
                </c:pt>
                <c:pt idx="33">
                  <c:v>1974</c:v>
                </c:pt>
                <c:pt idx="34">
                  <c:v>1975</c:v>
                </c:pt>
                <c:pt idx="35">
                  <c:v>1976</c:v>
                </c:pt>
                <c:pt idx="36">
                  <c:v>1977</c:v>
                </c:pt>
                <c:pt idx="37">
                  <c:v>1978</c:v>
                </c:pt>
                <c:pt idx="38">
                  <c:v>1979</c:v>
                </c:pt>
                <c:pt idx="39">
                  <c:v>1980</c:v>
                </c:pt>
                <c:pt idx="40">
                  <c:v>1981</c:v>
                </c:pt>
                <c:pt idx="41">
                  <c:v>1982</c:v>
                </c:pt>
                <c:pt idx="42">
                  <c:v>1983</c:v>
                </c:pt>
                <c:pt idx="43">
                  <c:v>1984</c:v>
                </c:pt>
                <c:pt idx="44">
                  <c:v>1985</c:v>
                </c:pt>
                <c:pt idx="45">
                  <c:v>1986</c:v>
                </c:pt>
                <c:pt idx="46">
                  <c:v>1987</c:v>
                </c:pt>
                <c:pt idx="47">
                  <c:v>1988</c:v>
                </c:pt>
                <c:pt idx="48">
                  <c:v>1989</c:v>
                </c:pt>
                <c:pt idx="49">
                  <c:v>1990</c:v>
                </c:pt>
                <c:pt idx="50">
                  <c:v>1991</c:v>
                </c:pt>
                <c:pt idx="51">
                  <c:v>1992</c:v>
                </c:pt>
                <c:pt idx="52">
                  <c:v>1993</c:v>
                </c:pt>
                <c:pt idx="53">
                  <c:v>1994</c:v>
                </c:pt>
                <c:pt idx="54">
                  <c:v>1995</c:v>
                </c:pt>
                <c:pt idx="55">
                  <c:v>1996</c:v>
                </c:pt>
                <c:pt idx="56">
                  <c:v>1997</c:v>
                </c:pt>
                <c:pt idx="57">
                  <c:v>1998</c:v>
                </c:pt>
                <c:pt idx="58">
                  <c:v>1999</c:v>
                </c:pt>
                <c:pt idx="59">
                  <c:v>2000</c:v>
                </c:pt>
                <c:pt idx="60">
                  <c:v>2001</c:v>
                </c:pt>
                <c:pt idx="61">
                  <c:v>2002</c:v>
                </c:pt>
                <c:pt idx="62">
                  <c:v>2003</c:v>
                </c:pt>
                <c:pt idx="63">
                  <c:v>2004</c:v>
                </c:pt>
                <c:pt idx="64">
                  <c:v>2005</c:v>
                </c:pt>
                <c:pt idx="65">
                  <c:v>2006</c:v>
                </c:pt>
                <c:pt idx="66">
                  <c:v>2007</c:v>
                </c:pt>
                <c:pt idx="67">
                  <c:v>2008</c:v>
                </c:pt>
                <c:pt idx="68">
                  <c:v>2009</c:v>
                </c:pt>
                <c:pt idx="69">
                  <c:v>2010</c:v>
                </c:pt>
                <c:pt idx="70">
                  <c:v>2011</c:v>
                </c:pt>
                <c:pt idx="71">
                  <c:v>2012</c:v>
                </c:pt>
                <c:pt idx="72">
                  <c:v>2013</c:v>
                </c:pt>
                <c:pt idx="73">
                  <c:v>2014</c:v>
                </c:pt>
                <c:pt idx="74">
                  <c:v>2015</c:v>
                </c:pt>
                <c:pt idx="75">
                  <c:v>2016</c:v>
                </c:pt>
                <c:pt idx="76">
                  <c:v>2017</c:v>
                </c:pt>
                <c:pt idx="77">
                  <c:v>2018</c:v>
                </c:pt>
                <c:pt idx="78">
                  <c:v>2019</c:v>
                </c:pt>
                <c:pt idx="79">
                  <c:v>2020</c:v>
                </c:pt>
                <c:pt idx="80">
                  <c:v>2021</c:v>
                </c:pt>
                <c:pt idx="81">
                  <c:v>2022</c:v>
                </c:pt>
              </c:numCache>
            </c:numRef>
          </c:xVal>
          <c:yVal>
            <c:numRef>
              <c:f>Sheet1!$K$12:$K$93</c:f>
              <c:numCache>
                <c:formatCode>#,##0</c:formatCode>
                <c:ptCount val="82"/>
                <c:pt idx="0">
                  <c:v>17600</c:v>
                </c:pt>
                <c:pt idx="1">
                  <c:v>16918</c:v>
                </c:pt>
                <c:pt idx="2">
                  <c:v>16164</c:v>
                </c:pt>
                <c:pt idx="3">
                  <c:v>13578</c:v>
                </c:pt>
                <c:pt idx="4">
                  <c:v>12339</c:v>
                </c:pt>
                <c:pt idx="5">
                  <c:v>12106</c:v>
                </c:pt>
                <c:pt idx="6">
                  <c:v>12200</c:v>
                </c:pt>
                <c:pt idx="7">
                  <c:v>13931</c:v>
                </c:pt>
                <c:pt idx="8">
                  <c:v>13952</c:v>
                </c:pt>
                <c:pt idx="9">
                  <c:v>13377</c:v>
                </c:pt>
                <c:pt idx="10">
                  <c:v>11094</c:v>
                </c:pt>
                <c:pt idx="11">
                  <c:v>8553</c:v>
                </c:pt>
                <c:pt idx="12">
                  <c:v>7675</c:v>
                </c:pt>
                <c:pt idx="13">
                  <c:v>6676</c:v>
                </c:pt>
                <c:pt idx="14">
                  <c:v>5354</c:v>
                </c:pt>
                <c:pt idx="15">
                  <c:v>5491</c:v>
                </c:pt>
                <c:pt idx="16">
                  <c:v>5288</c:v>
                </c:pt>
                <c:pt idx="17">
                  <c:v>4866</c:v>
                </c:pt>
                <c:pt idx="18">
                  <c:v>5130</c:v>
                </c:pt>
                <c:pt idx="19">
                  <c:v>4416</c:v>
                </c:pt>
                <c:pt idx="20">
                  <c:v>4163</c:v>
                </c:pt>
                <c:pt idx="21">
                  <c:v>4070</c:v>
                </c:pt>
                <c:pt idx="22">
                  <c:v>4031</c:v>
                </c:pt>
                <c:pt idx="23">
                  <c:v>3516</c:v>
                </c:pt>
                <c:pt idx="24">
                  <c:v>3564</c:v>
                </c:pt>
                <c:pt idx="25">
                  <c:v>3170</c:v>
                </c:pt>
                <c:pt idx="26">
                  <c:v>2894</c:v>
                </c:pt>
                <c:pt idx="27">
                  <c:v>2381</c:v>
                </c:pt>
                <c:pt idx="28">
                  <c:v>2074</c:v>
                </c:pt>
                <c:pt idx="29">
                  <c:v>1953</c:v>
                </c:pt>
                <c:pt idx="30">
                  <c:v>2052</c:v>
                </c:pt>
                <c:pt idx="31">
                  <c:v>1758</c:v>
                </c:pt>
                <c:pt idx="32">
                  <c:v>1527</c:v>
                </c:pt>
                <c:pt idx="33">
                  <c:v>1138</c:v>
                </c:pt>
                <c:pt idx="34" formatCode="General">
                  <c:v>916</c:v>
                </c:pt>
                <c:pt idx="35" formatCode="General">
                  <c:v>626</c:v>
                </c:pt>
                <c:pt idx="36" formatCode="General">
                  <c:v>463</c:v>
                </c:pt>
                <c:pt idx="37" formatCode="General">
                  <c:v>434</c:v>
                </c:pt>
                <c:pt idx="38" formatCode="General">
                  <c:v>332</c:v>
                </c:pt>
                <c:pt idx="39" formatCode="General">
                  <c:v>277</c:v>
                </c:pt>
                <c:pt idx="40" formatCode="General">
                  <c:v>287</c:v>
                </c:pt>
                <c:pt idx="41" formatCode="General">
                  <c:v>259</c:v>
                </c:pt>
                <c:pt idx="42" formatCode="General">
                  <c:v>239</c:v>
                </c:pt>
                <c:pt idx="43" formatCode="General">
                  <c:v>305</c:v>
                </c:pt>
                <c:pt idx="44" formatCode="General">
                  <c:v>329</c:v>
                </c:pt>
                <c:pt idx="45" formatCode="General">
                  <c:v>410</c:v>
                </c:pt>
                <c:pt idx="46" formatCode="General">
                  <c:v>480</c:v>
                </c:pt>
                <c:pt idx="47" formatCode="General">
                  <c:v>741</c:v>
                </c:pt>
                <c:pt idx="48">
                  <c:v>1837</c:v>
                </c:pt>
                <c:pt idx="49">
                  <c:v>3865</c:v>
                </c:pt>
                <c:pt idx="50">
                  <c:v>4424</c:v>
                </c:pt>
                <c:pt idx="51">
                  <c:v>4067</c:v>
                </c:pt>
                <c:pt idx="52">
                  <c:v>3420</c:v>
                </c:pt>
                <c:pt idx="53">
                  <c:v>2452</c:v>
                </c:pt>
                <c:pt idx="54">
                  <c:v>1863</c:v>
                </c:pt>
                <c:pt idx="55">
                  <c:v>1282</c:v>
                </c:pt>
                <c:pt idx="56">
                  <c:v>1082</c:v>
                </c:pt>
                <c:pt idx="57" formatCode="General">
                  <c:v>843</c:v>
                </c:pt>
                <c:pt idx="58" formatCode="General">
                  <c:v>580</c:v>
                </c:pt>
                <c:pt idx="59" formatCode="General">
                  <c:v>580</c:v>
                </c:pt>
                <c:pt idx="60" formatCode="General">
                  <c:v>506</c:v>
                </c:pt>
                <c:pt idx="61" formatCode="General">
                  <c:v>460</c:v>
                </c:pt>
                <c:pt idx="62" formatCode="General">
                  <c:v>432</c:v>
                </c:pt>
                <c:pt idx="63" formatCode="General">
                  <c:v>375</c:v>
                </c:pt>
                <c:pt idx="64" formatCode="General">
                  <c:v>339</c:v>
                </c:pt>
                <c:pt idx="65" formatCode="General">
                  <c:v>372</c:v>
                </c:pt>
                <c:pt idx="66" formatCode="General">
                  <c:v>435</c:v>
                </c:pt>
                <c:pt idx="67" formatCode="General">
                  <c:v>446</c:v>
                </c:pt>
                <c:pt idx="68" formatCode="General">
                  <c:v>431</c:v>
                </c:pt>
                <c:pt idx="69" formatCode="General">
                  <c:v>387</c:v>
                </c:pt>
                <c:pt idx="70" formatCode="General">
                  <c:v>358</c:v>
                </c:pt>
                <c:pt idx="71" formatCode="General">
                  <c:v>334</c:v>
                </c:pt>
                <c:pt idx="72" formatCode="General">
                  <c:v>362</c:v>
                </c:pt>
                <c:pt idx="73" formatCode="General">
                  <c:v>462</c:v>
                </c:pt>
                <c:pt idx="74" formatCode="General">
                  <c:v>494</c:v>
                </c:pt>
                <c:pt idx="75" formatCode="General">
                  <c:v>641</c:v>
                </c:pt>
                <c:pt idx="76" formatCode="General">
                  <c:v>942</c:v>
                </c:pt>
                <c:pt idx="77">
                  <c:v>1325</c:v>
                </c:pt>
                <c:pt idx="78">
                  <c:v>1882</c:v>
                </c:pt>
                <c:pt idx="79">
                  <c:v>2162</c:v>
                </c:pt>
                <c:pt idx="80">
                  <c:v>2875</c:v>
                </c:pt>
                <c:pt idx="81">
                  <c:v>87571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22-A648-9E96-76E136A6B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7872"/>
        <c:axId val="395579584"/>
      </c:scatterChart>
      <c:valAx>
        <c:axId val="395577872"/>
        <c:scaling>
          <c:orientation val="minMax"/>
          <c:max val="2022"/>
          <c:min val="19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95579584"/>
        <c:crosses val="autoZero"/>
        <c:crossBetween val="midCat"/>
      </c:valAx>
      <c:valAx>
        <c:axId val="395579584"/>
        <c:scaling>
          <c:orientation val="minMax"/>
          <c:max val="25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9557787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6762542421050887E-2"/>
          <c:y val="0.91998067549248652"/>
          <c:w val="0.84742003236893315"/>
          <c:h val="8.0019324507513478E-2"/>
        </c:manualLayout>
      </c:layout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8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'recent trends'!$E$85:$E$95</c:f>
              <c:numCache>
                <c:formatCode>#,##0</c:formatCode>
                <c:ptCount val="11"/>
                <c:pt idx="0">
                  <c:v>63454</c:v>
                </c:pt>
                <c:pt idx="1">
                  <c:v>74709</c:v>
                </c:pt>
                <c:pt idx="2">
                  <c:v>88055</c:v>
                </c:pt>
                <c:pt idx="3">
                  <c:v>101591</c:v>
                </c:pt>
                <c:pt idx="4">
                  <c:v>115064</c:v>
                </c:pt>
                <c:pt idx="5">
                  <c:v>129825</c:v>
                </c:pt>
                <c:pt idx="6">
                  <c:v>133959</c:v>
                </c:pt>
                <c:pt idx="7">
                  <c:v>176733</c:v>
                </c:pt>
                <c:pt idx="8">
                  <c:v>207269</c:v>
                </c:pt>
                <c:pt idx="9">
                  <c:v>209253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4-5940-9BBB-B352EA0010BA}"/>
            </c:ext>
          </c:extLst>
        </c:ser>
        <c:ser>
          <c:idx val="1"/>
          <c:order val="1"/>
          <c:tx>
            <c:v>Total(2024 update)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'recent trends'!$F$85:$F$95</c:f>
              <c:numCache>
                <c:formatCode>General</c:formatCode>
                <c:ptCount val="11"/>
                <c:pt idx="1">
                  <c:v>74215</c:v>
                </c:pt>
                <c:pt idx="2">
                  <c:v>87414</c:v>
                </c:pt>
                <c:pt idx="3">
                  <c:v>100649</c:v>
                </c:pt>
                <c:pt idx="4">
                  <c:v>113739</c:v>
                </c:pt>
                <c:pt idx="5">
                  <c:v>127943</c:v>
                </c:pt>
                <c:pt idx="6">
                  <c:v>131797</c:v>
                </c:pt>
                <c:pt idx="7">
                  <c:v>173858</c:v>
                </c:pt>
                <c:pt idx="8">
                  <c:v>203500</c:v>
                </c:pt>
                <c:pt idx="9">
                  <c:v>205371</c:v>
                </c:pt>
                <c:pt idx="10">
                  <c:v>186301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4-5940-9BBB-B352EA001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826160"/>
        <c:axId val="570560192"/>
      </c:lineChart>
      <c:catAx>
        <c:axId val="570826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560192"/>
        <c:crosses val="autoZero"/>
        <c:auto val="1"/>
        <c:lblAlgn val="ctr"/>
        <c:lblOffset val="100"/>
        <c:noMultiLvlLbl val="0"/>
      </c:catAx>
      <c:valAx>
        <c:axId val="5705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82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'recent trends'!$G$85:$G$95</c:f>
              <c:numCache>
                <c:formatCode>#,##0</c:formatCode>
                <c:ptCount val="11"/>
                <c:pt idx="0">
                  <c:v>19999</c:v>
                </c:pt>
                <c:pt idx="1">
                  <c:v>23872</c:v>
                </c:pt>
                <c:pt idx="2">
                  <c:v>27814</c:v>
                </c:pt>
                <c:pt idx="3">
                  <c:v>30644</c:v>
                </c:pt>
                <c:pt idx="4">
                  <c:v>35063</c:v>
                </c:pt>
                <c:pt idx="5">
                  <c:v>38992</c:v>
                </c:pt>
                <c:pt idx="6">
                  <c:v>41655</c:v>
                </c:pt>
                <c:pt idx="7">
                  <c:v>53767</c:v>
                </c:pt>
                <c:pt idx="8">
                  <c:v>3769</c:v>
                </c:pt>
                <c:pt idx="9">
                  <c:v>3882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4-3540-B4C9-CE1120ADBA9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'recent trends'!$H$85:$H$95</c:f>
              <c:numCache>
                <c:formatCode>General</c:formatCode>
                <c:ptCount val="11"/>
                <c:pt idx="1">
                  <c:v>23872</c:v>
                </c:pt>
                <c:pt idx="2">
                  <c:v>27814</c:v>
                </c:pt>
                <c:pt idx="3">
                  <c:v>30644</c:v>
                </c:pt>
                <c:pt idx="4">
                  <c:v>35063</c:v>
                </c:pt>
                <c:pt idx="5">
                  <c:v>38992</c:v>
                </c:pt>
                <c:pt idx="6">
                  <c:v>41655</c:v>
                </c:pt>
                <c:pt idx="7">
                  <c:v>53767</c:v>
                </c:pt>
                <c:pt idx="8">
                  <c:v>59016</c:v>
                </c:pt>
                <c:pt idx="9">
                  <c:v>53007</c:v>
                </c:pt>
                <c:pt idx="10">
                  <c:v>41496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4-3540-B4C9-CE1120ADB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826160"/>
        <c:axId val="570560192"/>
      </c:lineChart>
      <c:catAx>
        <c:axId val="570826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560192"/>
        <c:crosses val="autoZero"/>
        <c:auto val="1"/>
        <c:lblAlgn val="ctr"/>
        <c:lblOffset val="100"/>
        <c:noMultiLvlLbl val="0"/>
      </c:catAx>
      <c:valAx>
        <c:axId val="5705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82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'recent trends'!$I$85:$I$95</c:f>
              <c:numCache>
                <c:formatCode>#,##0</c:formatCode>
                <c:ptCount val="11"/>
                <c:pt idx="0">
                  <c:v>19452</c:v>
                </c:pt>
                <c:pt idx="1">
                  <c:v>24173</c:v>
                </c:pt>
                <c:pt idx="2">
                  <c:v>28924</c:v>
                </c:pt>
                <c:pt idx="3">
                  <c:v>34013</c:v>
                </c:pt>
                <c:pt idx="4">
                  <c:v>38539</c:v>
                </c:pt>
                <c:pt idx="5">
                  <c:v>41655</c:v>
                </c:pt>
                <c:pt idx="6">
                  <c:v>43145</c:v>
                </c:pt>
                <c:pt idx="7">
                  <c:v>51830</c:v>
                </c:pt>
                <c:pt idx="8">
                  <c:v>59016</c:v>
                </c:pt>
                <c:pt idx="9">
                  <c:v>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9-BD40-BA31-D66CF68861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'recent trends'!$J$85:$J$95</c:f>
              <c:numCache>
                <c:formatCode>General</c:formatCode>
                <c:ptCount val="11"/>
                <c:pt idx="1">
                  <c:v>24173</c:v>
                </c:pt>
                <c:pt idx="2">
                  <c:v>28924</c:v>
                </c:pt>
                <c:pt idx="3">
                  <c:v>34013</c:v>
                </c:pt>
                <c:pt idx="4">
                  <c:v>38539</c:v>
                </c:pt>
                <c:pt idx="5">
                  <c:v>41655</c:v>
                </c:pt>
                <c:pt idx="6">
                  <c:v>43145</c:v>
                </c:pt>
                <c:pt idx="7">
                  <c:v>51830</c:v>
                </c:pt>
                <c:pt idx="8">
                  <c:v>56913</c:v>
                </c:pt>
                <c:pt idx="9">
                  <c:v>53573</c:v>
                </c:pt>
                <c:pt idx="10">
                  <c:v>47539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D9-BD40-BA31-D66CF6886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826160"/>
        <c:axId val="570560192"/>
      </c:lineChart>
      <c:catAx>
        <c:axId val="570826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560192"/>
        <c:crosses val="autoZero"/>
        <c:auto val="1"/>
        <c:lblAlgn val="ctr"/>
        <c:lblOffset val="100"/>
        <c:noMultiLvlLbl val="0"/>
      </c:catAx>
      <c:valAx>
        <c:axId val="5705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82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'recent trends'!$K$85:$K$95</c:f>
              <c:numCache>
                <c:formatCode>#,##0</c:formatCode>
                <c:ptCount val="11"/>
                <c:pt idx="0">
                  <c:v>23541</c:v>
                </c:pt>
                <c:pt idx="1">
                  <c:v>26170</c:v>
                </c:pt>
                <c:pt idx="2">
                  <c:v>30676</c:v>
                </c:pt>
                <c:pt idx="3">
                  <c:v>35992</c:v>
                </c:pt>
                <c:pt idx="4">
                  <c:v>40137</c:v>
                </c:pt>
                <c:pt idx="5">
                  <c:v>47296</c:v>
                </c:pt>
                <c:pt idx="6">
                  <c:v>46997</c:v>
                </c:pt>
                <c:pt idx="7">
                  <c:v>68261</c:v>
                </c:pt>
                <c:pt idx="8">
                  <c:v>56913</c:v>
                </c:pt>
                <c:pt idx="9">
                  <c:v>53573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E-FE49-88CD-A06E256EDA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'recent trends'!$L$85:$L$95</c:f>
              <c:numCache>
                <c:formatCode>General</c:formatCode>
                <c:ptCount val="11"/>
                <c:pt idx="1">
                  <c:v>26170</c:v>
                </c:pt>
                <c:pt idx="2">
                  <c:v>30676</c:v>
                </c:pt>
                <c:pt idx="3">
                  <c:v>35992</c:v>
                </c:pt>
                <c:pt idx="4">
                  <c:v>40137</c:v>
                </c:pt>
                <c:pt idx="5">
                  <c:v>47296</c:v>
                </c:pt>
                <c:pt idx="6">
                  <c:v>46997</c:v>
                </c:pt>
                <c:pt idx="7">
                  <c:v>68261</c:v>
                </c:pt>
                <c:pt idx="8">
                  <c:v>87571</c:v>
                </c:pt>
                <c:pt idx="9">
                  <c:v>98791</c:v>
                </c:pt>
                <c:pt idx="10">
                  <c:v>97266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E-FE49-88CD-A06E256E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826160"/>
        <c:axId val="570560192"/>
      </c:lineChart>
      <c:catAx>
        <c:axId val="570826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560192"/>
        <c:crosses val="autoZero"/>
        <c:auto val="1"/>
        <c:lblAlgn val="ctr"/>
        <c:lblOffset val="100"/>
        <c:noMultiLvlLbl val="0"/>
      </c:catAx>
      <c:valAx>
        <c:axId val="5705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82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572429</xdr:colOff>
      <xdr:row>0</xdr:row>
      <xdr:rowOff>180278</xdr:rowOff>
    </xdr:from>
    <xdr:to>
      <xdr:col>49</xdr:col>
      <xdr:colOff>801029</xdr:colOff>
      <xdr:row>23</xdr:row>
      <xdr:rowOff>6195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5D1D0-4F35-7855-8C8E-4CC709DBD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92927</xdr:colOff>
      <xdr:row>23</xdr:row>
      <xdr:rowOff>3097</xdr:rowOff>
    </xdr:from>
    <xdr:to>
      <xdr:col>51</xdr:col>
      <xdr:colOff>19825</xdr:colOff>
      <xdr:row>57</xdr:row>
      <xdr:rowOff>104697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90A2EA-9D3F-654B-84AC-7B675C433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324979</xdr:colOff>
      <xdr:row>51</xdr:row>
      <xdr:rowOff>100823</xdr:rowOff>
    </xdr:from>
    <xdr:to>
      <xdr:col>37</xdr:col>
      <xdr:colOff>368965</xdr:colOff>
      <xdr:row>85</xdr:row>
      <xdr:rowOff>176404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63559-B8FE-AF48-8150-28592DEFC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378298</xdr:colOff>
      <xdr:row>75</xdr:row>
      <xdr:rowOff>155101</xdr:rowOff>
    </xdr:from>
    <xdr:to>
      <xdr:col>24</xdr:col>
      <xdr:colOff>353978</xdr:colOff>
      <xdr:row>91</xdr:row>
      <xdr:rowOff>108084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901D92-3EC0-754A-B15E-1D29DB90A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378297</xdr:colOff>
      <xdr:row>91</xdr:row>
      <xdr:rowOff>162127</xdr:rowOff>
    </xdr:from>
    <xdr:to>
      <xdr:col>24</xdr:col>
      <xdr:colOff>353977</xdr:colOff>
      <xdr:row>112</xdr:row>
      <xdr:rowOff>7025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AFF2EA-029D-2E4B-B917-87D92C60B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27021</xdr:colOff>
      <xdr:row>76</xdr:row>
      <xdr:rowOff>81064</xdr:rowOff>
    </xdr:from>
    <xdr:to>
      <xdr:col>35</xdr:col>
      <xdr:colOff>786319</xdr:colOff>
      <xdr:row>92</xdr:row>
      <xdr:rowOff>34047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C32EFC-E446-4140-9243-E764642B7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27021</xdr:colOff>
      <xdr:row>92</xdr:row>
      <xdr:rowOff>243191</xdr:rowOff>
    </xdr:from>
    <xdr:to>
      <xdr:col>35</xdr:col>
      <xdr:colOff>786319</xdr:colOff>
      <xdr:row>113</xdr:row>
      <xdr:rowOff>169153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D6911F-1BAE-2B4B-85E9-C2D9020F4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dc.gov/std/statistics/2022/tables/1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cdc.gov/std/statistics/2022/tables/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6DD2-3A51-7944-B826-97E217D657B8}">
  <dimension ref="A1:Z95"/>
  <sheetViews>
    <sheetView tabSelected="1" zoomScale="59" workbookViewId="0">
      <selection activeCell="B4" sqref="B2:F4"/>
    </sheetView>
  </sheetViews>
  <sheetFormatPr baseColWidth="10" defaultRowHeight="16" x14ac:dyDescent="0.2"/>
  <cols>
    <col min="1" max="1" width="10.83203125" style="2"/>
    <col min="2" max="2" width="16.33203125" style="2" customWidth="1"/>
    <col min="3" max="3" width="21.6640625" style="10" customWidth="1"/>
    <col min="4" max="4" width="10" style="2" bestFit="1" customWidth="1"/>
    <col min="5" max="5" width="21.6640625" style="10" customWidth="1"/>
    <col min="6" max="6" width="10" style="2" bestFit="1" customWidth="1"/>
    <col min="7" max="7" width="21.6640625" style="10" customWidth="1"/>
    <col min="8" max="8" width="8.33203125" style="2" bestFit="1" customWidth="1"/>
    <col min="9" max="9" width="22.5" style="10" customWidth="1"/>
    <col min="10" max="10" width="10" style="2" bestFit="1" customWidth="1"/>
    <col min="11" max="11" width="10.6640625" style="2" bestFit="1" customWidth="1"/>
    <col min="12" max="12" width="10" style="2" bestFit="1" customWidth="1"/>
    <col min="13" max="13" width="14.83203125" style="2" bestFit="1" customWidth="1"/>
    <col min="14" max="14" width="10" style="2" bestFit="1" customWidth="1"/>
    <col min="15" max="15" width="14.83203125" style="2" bestFit="1" customWidth="1"/>
    <col min="16" max="16" width="10" style="2" bestFit="1" customWidth="1"/>
    <col min="17" max="17" width="10.33203125" style="2" bestFit="1" customWidth="1"/>
    <col min="18" max="18" width="8" style="2" bestFit="1" customWidth="1"/>
    <col min="19" max="19" width="7.33203125" style="2" customWidth="1"/>
    <col min="20" max="16384" width="10.83203125" style="2"/>
  </cols>
  <sheetData>
    <row r="1" spans="1:18" ht="23" x14ac:dyDescent="0.25">
      <c r="A1" s="42" t="s">
        <v>15</v>
      </c>
      <c r="B1" s="42"/>
      <c r="C1" s="42"/>
      <c r="D1" s="42"/>
      <c r="E1" s="42"/>
      <c r="F1" s="42"/>
      <c r="G1" s="42"/>
    </row>
    <row r="2" spans="1:18" ht="23" x14ac:dyDescent="0.25">
      <c r="B2" s="44" t="s">
        <v>14</v>
      </c>
      <c r="C2" s="45"/>
      <c r="D2" s="45"/>
      <c r="E2" s="45"/>
      <c r="F2" s="45"/>
      <c r="P2" s="1"/>
    </row>
    <row r="3" spans="1:18" ht="23" x14ac:dyDescent="0.25">
      <c r="B3" s="42" t="s">
        <v>16</v>
      </c>
      <c r="C3" s="42"/>
      <c r="D3" s="42"/>
      <c r="E3" s="42"/>
      <c r="F3" s="42"/>
      <c r="H3" s="1"/>
      <c r="L3" s="1"/>
    </row>
    <row r="4" spans="1:18" ht="32" x14ac:dyDescent="0.4">
      <c r="B4" s="3" t="s">
        <v>18</v>
      </c>
      <c r="F4" s="1"/>
      <c r="H4" s="1"/>
      <c r="L4" s="1"/>
    </row>
    <row r="5" spans="1:18" ht="23" x14ac:dyDescent="0.25">
      <c r="B5" s="1"/>
      <c r="F5" s="1"/>
      <c r="H5" s="1"/>
      <c r="L5" s="1"/>
    </row>
    <row r="6" spans="1:18" ht="23" x14ac:dyDescent="0.25">
      <c r="B6" s="1"/>
      <c r="F6" s="1"/>
      <c r="H6" s="1"/>
      <c r="L6" s="1"/>
    </row>
    <row r="7" spans="1:18" ht="23" x14ac:dyDescent="0.25">
      <c r="B7" s="1"/>
      <c r="F7" s="1"/>
      <c r="H7" s="1"/>
      <c r="L7" s="1"/>
    </row>
    <row r="8" spans="1:18" ht="23" x14ac:dyDescent="0.25">
      <c r="B8" s="1" t="s">
        <v>17</v>
      </c>
      <c r="F8" s="1"/>
      <c r="H8" s="1"/>
      <c r="L8" s="1"/>
    </row>
    <row r="9" spans="1:18" ht="23" x14ac:dyDescent="0.25">
      <c r="B9" s="1"/>
      <c r="F9" s="1"/>
      <c r="H9" s="1"/>
      <c r="L9" s="1"/>
    </row>
    <row r="10" spans="1:18" s="24" customFormat="1" ht="89" customHeight="1" x14ac:dyDescent="0.25">
      <c r="B10" s="25"/>
      <c r="C10" s="43" t="s">
        <v>1</v>
      </c>
      <c r="D10" s="43"/>
      <c r="E10" s="43" t="s">
        <v>8</v>
      </c>
      <c r="F10" s="43"/>
      <c r="G10" s="43" t="s">
        <v>9</v>
      </c>
      <c r="H10" s="43"/>
      <c r="I10" s="43" t="s">
        <v>10</v>
      </c>
      <c r="J10" s="43"/>
      <c r="K10" s="43" t="s">
        <v>2</v>
      </c>
      <c r="L10" s="43"/>
      <c r="M10" s="43" t="s">
        <v>12</v>
      </c>
      <c r="N10" s="43"/>
      <c r="O10" s="43" t="s">
        <v>0</v>
      </c>
      <c r="P10" s="43"/>
      <c r="Q10" s="43" t="s">
        <v>11</v>
      </c>
      <c r="R10" s="43"/>
    </row>
    <row r="11" spans="1:18" ht="23" x14ac:dyDescent="0.25">
      <c r="B11" s="1" t="s">
        <v>13</v>
      </c>
      <c r="C11" s="11" t="s">
        <v>3</v>
      </c>
      <c r="D11" s="1" t="s">
        <v>4</v>
      </c>
      <c r="E11" s="11" t="s">
        <v>3</v>
      </c>
      <c r="F11" s="1" t="s">
        <v>4</v>
      </c>
      <c r="G11" s="11" t="s">
        <v>3</v>
      </c>
      <c r="H11" s="1" t="s">
        <v>4</v>
      </c>
      <c r="I11" s="11" t="s">
        <v>3</v>
      </c>
      <c r="J11" s="1" t="s">
        <v>4</v>
      </c>
      <c r="K11" s="29" t="s">
        <v>3</v>
      </c>
      <c r="L11" s="1" t="s">
        <v>5</v>
      </c>
      <c r="M11" s="1" t="s">
        <v>3</v>
      </c>
      <c r="N11" s="1" t="s">
        <v>4</v>
      </c>
      <c r="O11" s="1" t="s">
        <v>3</v>
      </c>
      <c r="P11" s="1" t="s">
        <v>4</v>
      </c>
      <c r="Q11" s="1" t="s">
        <v>3</v>
      </c>
      <c r="R11" s="1" t="s">
        <v>4</v>
      </c>
    </row>
    <row r="12" spans="1:18" ht="23" x14ac:dyDescent="0.25">
      <c r="B12" s="4">
        <v>1941</v>
      </c>
      <c r="C12" s="12">
        <v>485560</v>
      </c>
      <c r="D12" s="4">
        <v>368.2</v>
      </c>
      <c r="E12" s="12">
        <v>68231</v>
      </c>
      <c r="F12" s="4">
        <v>51.7</v>
      </c>
      <c r="G12" s="12">
        <v>109018</v>
      </c>
      <c r="H12" s="4">
        <v>82.6</v>
      </c>
      <c r="I12" s="12">
        <v>202984</v>
      </c>
      <c r="J12" s="4">
        <v>153.9</v>
      </c>
      <c r="K12" s="30">
        <v>17600</v>
      </c>
      <c r="L12" s="4">
        <v>651.1</v>
      </c>
      <c r="M12" s="4" t="s">
        <v>6</v>
      </c>
      <c r="N12" s="4" t="s">
        <v>7</v>
      </c>
      <c r="O12" s="5">
        <v>193468</v>
      </c>
      <c r="P12" s="4">
        <v>146.69999999999999</v>
      </c>
      <c r="Q12" s="5">
        <v>3384</v>
      </c>
      <c r="R12" s="4">
        <v>2.5</v>
      </c>
    </row>
    <row r="13" spans="1:18" ht="23" x14ac:dyDescent="0.25">
      <c r="B13" s="4">
        <v>1942</v>
      </c>
      <c r="C13" s="12">
        <v>479601</v>
      </c>
      <c r="D13" s="4">
        <v>363.4</v>
      </c>
      <c r="E13" s="12">
        <v>75312</v>
      </c>
      <c r="F13" s="4">
        <v>57</v>
      </c>
      <c r="G13" s="12">
        <v>116245</v>
      </c>
      <c r="H13" s="4">
        <v>88</v>
      </c>
      <c r="I13" s="12">
        <v>202064</v>
      </c>
      <c r="J13" s="4">
        <v>153.1</v>
      </c>
      <c r="K13" s="30">
        <v>16918</v>
      </c>
      <c r="L13" s="4">
        <v>566</v>
      </c>
      <c r="M13" s="4" t="s">
        <v>6</v>
      </c>
      <c r="N13" s="4" t="s">
        <v>7</v>
      </c>
      <c r="O13" s="5">
        <v>212403</v>
      </c>
      <c r="P13" s="4">
        <v>160.9</v>
      </c>
      <c r="Q13" s="5">
        <v>5477</v>
      </c>
      <c r="R13" s="4">
        <v>4.0999999999999996</v>
      </c>
    </row>
    <row r="14" spans="1:18" ht="23" x14ac:dyDescent="0.25">
      <c r="B14" s="4">
        <v>1943</v>
      </c>
      <c r="C14" s="12">
        <v>575593</v>
      </c>
      <c r="D14" s="4">
        <v>447</v>
      </c>
      <c r="E14" s="12">
        <v>82204</v>
      </c>
      <c r="F14" s="4">
        <v>63.8</v>
      </c>
      <c r="G14" s="12">
        <v>149390</v>
      </c>
      <c r="H14" s="4">
        <v>116</v>
      </c>
      <c r="I14" s="12">
        <v>251958</v>
      </c>
      <c r="J14" s="4">
        <v>195.7</v>
      </c>
      <c r="K14" s="30">
        <v>16164</v>
      </c>
      <c r="L14" s="4">
        <v>520.70000000000005</v>
      </c>
      <c r="M14" s="4" t="s">
        <v>6</v>
      </c>
      <c r="N14" s="4" t="s">
        <v>7</v>
      </c>
      <c r="O14" s="5">
        <v>275070</v>
      </c>
      <c r="P14" s="4">
        <v>213.6</v>
      </c>
      <c r="Q14" s="5">
        <v>8354</v>
      </c>
      <c r="R14" s="4">
        <v>6.4</v>
      </c>
    </row>
    <row r="15" spans="1:18" ht="23" x14ac:dyDescent="0.25">
      <c r="B15" s="4">
        <v>1944</v>
      </c>
      <c r="C15" s="12">
        <v>467755</v>
      </c>
      <c r="D15" s="4">
        <v>367.9</v>
      </c>
      <c r="E15" s="12">
        <v>78443</v>
      </c>
      <c r="F15" s="4">
        <v>61.6</v>
      </c>
      <c r="G15" s="12">
        <v>123038</v>
      </c>
      <c r="H15" s="4">
        <v>96.7</v>
      </c>
      <c r="I15" s="12">
        <v>202848</v>
      </c>
      <c r="J15" s="4">
        <v>159.6</v>
      </c>
      <c r="K15" s="30">
        <v>13578</v>
      </c>
      <c r="L15" s="4">
        <v>462</v>
      </c>
      <c r="M15" s="4" t="s">
        <v>6</v>
      </c>
      <c r="N15" s="4" t="s">
        <v>7</v>
      </c>
      <c r="O15" s="5">
        <v>300676</v>
      </c>
      <c r="P15" s="4">
        <v>236.5</v>
      </c>
      <c r="Q15" s="5">
        <v>7878</v>
      </c>
      <c r="R15" s="4">
        <v>6.1</v>
      </c>
    </row>
    <row r="16" spans="1:18" ht="23" x14ac:dyDescent="0.25">
      <c r="B16" s="4">
        <v>1945</v>
      </c>
      <c r="C16" s="12">
        <v>359114</v>
      </c>
      <c r="D16" s="4">
        <v>282.3</v>
      </c>
      <c r="E16" s="12">
        <v>77007</v>
      </c>
      <c r="F16" s="4">
        <v>60.5</v>
      </c>
      <c r="G16" s="12">
        <v>101719</v>
      </c>
      <c r="H16" s="4">
        <v>79.900000000000006</v>
      </c>
      <c r="I16" s="12">
        <v>142187</v>
      </c>
      <c r="J16" s="4">
        <v>111.8</v>
      </c>
      <c r="K16" s="30">
        <v>12339</v>
      </c>
      <c r="L16" s="4">
        <v>431.7</v>
      </c>
      <c r="M16" s="4" t="s">
        <v>6</v>
      </c>
      <c r="N16" s="4" t="s">
        <v>7</v>
      </c>
      <c r="O16" s="5">
        <v>287181</v>
      </c>
      <c r="P16" s="4">
        <v>225.8</v>
      </c>
      <c r="Q16" s="5">
        <v>5515</v>
      </c>
      <c r="R16" s="4">
        <v>4.3</v>
      </c>
    </row>
    <row r="17" spans="2:18" ht="23" x14ac:dyDescent="0.25">
      <c r="B17" s="4">
        <v>1946</v>
      </c>
      <c r="C17" s="12">
        <v>363647</v>
      </c>
      <c r="D17" s="4">
        <v>271.7</v>
      </c>
      <c r="E17" s="12">
        <v>94957</v>
      </c>
      <c r="F17" s="4">
        <v>70.900000000000006</v>
      </c>
      <c r="G17" s="12">
        <v>107924</v>
      </c>
      <c r="H17" s="4">
        <v>80.599999999999994</v>
      </c>
      <c r="I17" s="12">
        <v>125248</v>
      </c>
      <c r="J17" s="4">
        <v>93.6</v>
      </c>
      <c r="K17" s="30">
        <v>12106</v>
      </c>
      <c r="L17" s="4">
        <v>354.9</v>
      </c>
      <c r="M17" s="4" t="s">
        <v>6</v>
      </c>
      <c r="N17" s="4" t="s">
        <v>7</v>
      </c>
      <c r="O17" s="5">
        <v>368020</v>
      </c>
      <c r="P17" s="4">
        <v>275</v>
      </c>
      <c r="Q17" s="5">
        <v>7091</v>
      </c>
      <c r="R17" s="4">
        <v>5.2</v>
      </c>
    </row>
    <row r="18" spans="2:18" ht="23" x14ac:dyDescent="0.25">
      <c r="B18" s="4">
        <v>1947</v>
      </c>
      <c r="C18" s="12">
        <v>355592</v>
      </c>
      <c r="D18" s="4">
        <v>252.3</v>
      </c>
      <c r="E18" s="12">
        <v>93545</v>
      </c>
      <c r="F18" s="4">
        <v>66.400000000000006</v>
      </c>
      <c r="G18" s="12">
        <v>104124</v>
      </c>
      <c r="H18" s="4">
        <v>73.900000000000006</v>
      </c>
      <c r="I18" s="12">
        <v>122089</v>
      </c>
      <c r="J18" s="4">
        <v>86.6</v>
      </c>
      <c r="K18" s="30">
        <v>12200</v>
      </c>
      <c r="L18" s="4">
        <v>319.60000000000002</v>
      </c>
      <c r="M18" s="4" t="s">
        <v>6</v>
      </c>
      <c r="N18" s="4" t="s">
        <v>7</v>
      </c>
      <c r="O18" s="5">
        <v>380666</v>
      </c>
      <c r="P18" s="4">
        <v>270</v>
      </c>
      <c r="Q18" s="5">
        <v>9515</v>
      </c>
      <c r="R18" s="4">
        <v>6.7</v>
      </c>
    </row>
    <row r="19" spans="2:18" ht="23" x14ac:dyDescent="0.25">
      <c r="B19" s="4">
        <v>1948</v>
      </c>
      <c r="C19" s="12">
        <v>314313</v>
      </c>
      <c r="D19" s="4">
        <v>218.2</v>
      </c>
      <c r="E19" s="12">
        <v>68174</v>
      </c>
      <c r="F19" s="4">
        <v>47.3</v>
      </c>
      <c r="G19" s="12">
        <v>90598</v>
      </c>
      <c r="H19" s="4">
        <v>62.9</v>
      </c>
      <c r="I19" s="12">
        <v>123312</v>
      </c>
      <c r="J19" s="4">
        <v>85.6</v>
      </c>
      <c r="K19" s="30">
        <v>13931</v>
      </c>
      <c r="L19" s="4">
        <v>383</v>
      </c>
      <c r="M19" s="4" t="s">
        <v>6</v>
      </c>
      <c r="N19" s="4" t="s">
        <v>7</v>
      </c>
      <c r="O19" s="5">
        <v>345501</v>
      </c>
      <c r="P19" s="4">
        <v>239.8</v>
      </c>
      <c r="Q19" s="5">
        <v>7661</v>
      </c>
      <c r="R19" s="4">
        <v>5.3</v>
      </c>
    </row>
    <row r="20" spans="2:18" ht="23" x14ac:dyDescent="0.25">
      <c r="B20" s="4">
        <v>1949</v>
      </c>
      <c r="C20" s="12">
        <v>256463</v>
      </c>
      <c r="D20" s="4">
        <v>175.3</v>
      </c>
      <c r="E20" s="12">
        <v>41942</v>
      </c>
      <c r="F20" s="4">
        <v>28.7</v>
      </c>
      <c r="G20" s="12">
        <v>75045</v>
      </c>
      <c r="H20" s="4">
        <v>51.3</v>
      </c>
      <c r="I20" s="12">
        <v>116397</v>
      </c>
      <c r="J20" s="4">
        <v>79.5</v>
      </c>
      <c r="K20" s="30">
        <v>13952</v>
      </c>
      <c r="L20" s="4">
        <v>382.4</v>
      </c>
      <c r="M20" s="4" t="s">
        <v>6</v>
      </c>
      <c r="N20" s="4" t="s">
        <v>7</v>
      </c>
      <c r="O20" s="5">
        <v>317950</v>
      </c>
      <c r="P20" s="4">
        <v>217.3</v>
      </c>
      <c r="Q20" s="5">
        <v>6707</v>
      </c>
      <c r="R20" s="4">
        <v>4.5999999999999996</v>
      </c>
    </row>
    <row r="21" spans="2:18" ht="23" x14ac:dyDescent="0.25">
      <c r="B21" s="4">
        <v>1950</v>
      </c>
      <c r="C21" s="12">
        <v>217558</v>
      </c>
      <c r="D21" s="4">
        <v>146</v>
      </c>
      <c r="E21" s="12">
        <v>23939</v>
      </c>
      <c r="F21" s="4">
        <v>16.7</v>
      </c>
      <c r="G21" s="12">
        <v>59256</v>
      </c>
      <c r="H21" s="4">
        <v>39.700000000000003</v>
      </c>
      <c r="I21" s="12">
        <v>113569</v>
      </c>
      <c r="J21" s="4">
        <v>70.2</v>
      </c>
      <c r="K21" s="30">
        <v>13377</v>
      </c>
      <c r="L21" s="4">
        <v>368.3</v>
      </c>
      <c r="M21" s="4" t="s">
        <v>6</v>
      </c>
      <c r="N21" s="4" t="s">
        <v>7</v>
      </c>
      <c r="O21" s="5">
        <v>286746</v>
      </c>
      <c r="P21" s="4">
        <v>192.5</v>
      </c>
      <c r="Q21" s="5">
        <v>4977</v>
      </c>
      <c r="R21" s="4">
        <v>3.3</v>
      </c>
    </row>
    <row r="22" spans="2:18" ht="23" x14ac:dyDescent="0.25">
      <c r="B22" s="4">
        <v>1951</v>
      </c>
      <c r="C22" s="12">
        <v>174924</v>
      </c>
      <c r="D22" s="4">
        <v>116.1</v>
      </c>
      <c r="E22" s="12">
        <v>14485</v>
      </c>
      <c r="F22" s="4">
        <v>9.6</v>
      </c>
      <c r="G22" s="12">
        <v>43316</v>
      </c>
      <c r="H22" s="4">
        <v>28.7</v>
      </c>
      <c r="I22" s="12">
        <v>98311</v>
      </c>
      <c r="J22" s="4">
        <v>65.2</v>
      </c>
      <c r="K22" s="30">
        <v>11094</v>
      </c>
      <c r="L22" s="4">
        <v>290.39999999999998</v>
      </c>
      <c r="M22" s="4" t="s">
        <v>6</v>
      </c>
      <c r="N22" s="4" t="s">
        <v>7</v>
      </c>
      <c r="O22" s="5">
        <v>254470</v>
      </c>
      <c r="P22" s="4">
        <v>168.9</v>
      </c>
      <c r="Q22" s="5">
        <v>4233</v>
      </c>
      <c r="R22" s="4">
        <v>2.8</v>
      </c>
    </row>
    <row r="23" spans="2:18" ht="23" x14ac:dyDescent="0.25">
      <c r="B23" s="4">
        <v>1952</v>
      </c>
      <c r="C23" s="12">
        <v>167762</v>
      </c>
      <c r="D23" s="4">
        <v>110.2</v>
      </c>
      <c r="E23" s="12">
        <v>10449</v>
      </c>
      <c r="F23" s="4">
        <v>6.9</v>
      </c>
      <c r="G23" s="12">
        <v>36454</v>
      </c>
      <c r="H23" s="4">
        <v>24</v>
      </c>
      <c r="I23" s="12">
        <v>105238</v>
      </c>
      <c r="J23" s="4">
        <v>69.099999999999994</v>
      </c>
      <c r="K23" s="30">
        <v>8553</v>
      </c>
      <c r="L23" s="4">
        <v>218.8</v>
      </c>
      <c r="M23" s="4" t="s">
        <v>6</v>
      </c>
      <c r="N23" s="4" t="s">
        <v>7</v>
      </c>
      <c r="O23" s="5">
        <v>244957</v>
      </c>
      <c r="P23" s="4">
        <v>160.80000000000001</v>
      </c>
      <c r="Q23" s="5">
        <v>3738</v>
      </c>
      <c r="R23" s="4">
        <v>2.5</v>
      </c>
    </row>
    <row r="24" spans="2:18" ht="23" x14ac:dyDescent="0.25">
      <c r="B24" s="4">
        <v>1953</v>
      </c>
      <c r="C24" s="12">
        <v>148573</v>
      </c>
      <c r="D24" s="4">
        <v>95.9</v>
      </c>
      <c r="E24" s="12">
        <v>8637</v>
      </c>
      <c r="F24" s="4">
        <v>5.6</v>
      </c>
      <c r="G24" s="12">
        <v>28295</v>
      </c>
      <c r="H24" s="4">
        <v>18.3</v>
      </c>
      <c r="I24" s="12">
        <v>98870</v>
      </c>
      <c r="J24" s="4">
        <v>63.8</v>
      </c>
      <c r="K24" s="30">
        <v>7675</v>
      </c>
      <c r="L24" s="4">
        <v>193.9</v>
      </c>
      <c r="M24" s="4" t="s">
        <v>6</v>
      </c>
      <c r="N24" s="4" t="s">
        <v>7</v>
      </c>
      <c r="O24" s="5">
        <v>238340</v>
      </c>
      <c r="P24" s="4">
        <v>153.9</v>
      </c>
      <c r="Q24" s="5">
        <v>3338</v>
      </c>
      <c r="R24" s="4">
        <v>2.2000000000000002</v>
      </c>
    </row>
    <row r="25" spans="2:18" ht="23" x14ac:dyDescent="0.25">
      <c r="B25" s="4">
        <v>1954</v>
      </c>
      <c r="C25" s="12">
        <v>130697</v>
      </c>
      <c r="D25" s="4">
        <v>82.9</v>
      </c>
      <c r="E25" s="12">
        <v>7147</v>
      </c>
      <c r="F25" s="4">
        <v>4.5</v>
      </c>
      <c r="G25" s="12">
        <v>23861</v>
      </c>
      <c r="H25" s="4">
        <v>15.1</v>
      </c>
      <c r="I25" s="12">
        <v>89123</v>
      </c>
      <c r="J25" s="4">
        <v>56.5</v>
      </c>
      <c r="K25" s="30">
        <v>6676</v>
      </c>
      <c r="L25" s="4">
        <v>164</v>
      </c>
      <c r="M25" s="4" t="s">
        <v>6</v>
      </c>
      <c r="N25" s="4" t="s">
        <v>7</v>
      </c>
      <c r="O25" s="5">
        <v>242050</v>
      </c>
      <c r="P25" s="4">
        <v>153.5</v>
      </c>
      <c r="Q25" s="5">
        <v>3003</v>
      </c>
      <c r="R25" s="4">
        <v>1.9</v>
      </c>
    </row>
    <row r="26" spans="2:18" ht="23" x14ac:dyDescent="0.25">
      <c r="B26" s="4">
        <v>1955</v>
      </c>
      <c r="C26" s="12">
        <v>122392</v>
      </c>
      <c r="D26" s="4">
        <v>76.2</v>
      </c>
      <c r="E26" s="12">
        <v>6454</v>
      </c>
      <c r="F26" s="4">
        <v>4</v>
      </c>
      <c r="G26" s="12">
        <v>20054</v>
      </c>
      <c r="H26" s="4">
        <v>12.5</v>
      </c>
      <c r="I26" s="12">
        <v>86526</v>
      </c>
      <c r="J26" s="4">
        <v>53.8</v>
      </c>
      <c r="K26" s="30">
        <v>5354</v>
      </c>
      <c r="L26" s="4">
        <v>130.69999999999999</v>
      </c>
      <c r="M26" s="4" t="s">
        <v>6</v>
      </c>
      <c r="N26" s="4" t="s">
        <v>7</v>
      </c>
      <c r="O26" s="5">
        <v>236197</v>
      </c>
      <c r="P26" s="4">
        <v>147</v>
      </c>
      <c r="Q26" s="5">
        <v>2649</v>
      </c>
      <c r="R26" s="4">
        <v>1.7</v>
      </c>
    </row>
    <row r="27" spans="2:18" ht="23" x14ac:dyDescent="0.25">
      <c r="B27" s="4">
        <v>1956</v>
      </c>
      <c r="C27" s="12">
        <v>130201</v>
      </c>
      <c r="D27" s="4">
        <v>78.7</v>
      </c>
      <c r="E27" s="12">
        <v>6392</v>
      </c>
      <c r="F27" s="4">
        <v>3.9</v>
      </c>
      <c r="G27" s="12">
        <v>19783</v>
      </c>
      <c r="H27" s="4">
        <v>12</v>
      </c>
      <c r="I27" s="12">
        <v>95097</v>
      </c>
      <c r="J27" s="4">
        <v>57.5</v>
      </c>
      <c r="K27" s="30">
        <v>5491</v>
      </c>
      <c r="L27" s="4">
        <v>130.4</v>
      </c>
      <c r="M27" s="4" t="s">
        <v>6</v>
      </c>
      <c r="N27" s="4" t="s">
        <v>7</v>
      </c>
      <c r="O27" s="5">
        <v>224346</v>
      </c>
      <c r="P27" s="4">
        <v>135.69999999999999</v>
      </c>
      <c r="Q27" s="5">
        <v>2135</v>
      </c>
      <c r="R27" s="4">
        <v>1.3</v>
      </c>
    </row>
    <row r="28" spans="2:18" ht="23" x14ac:dyDescent="0.25">
      <c r="B28" s="4">
        <v>1957</v>
      </c>
      <c r="C28" s="12">
        <v>123758</v>
      </c>
      <c r="D28" s="4">
        <v>73.5</v>
      </c>
      <c r="E28" s="12">
        <v>6576</v>
      </c>
      <c r="F28" s="4">
        <v>3.9</v>
      </c>
      <c r="G28" s="12">
        <v>17796</v>
      </c>
      <c r="H28" s="4">
        <v>10.6</v>
      </c>
      <c r="I28" s="12">
        <v>91309</v>
      </c>
      <c r="J28" s="4">
        <v>54.2</v>
      </c>
      <c r="K28" s="30">
        <v>5288</v>
      </c>
      <c r="L28" s="4">
        <v>123</v>
      </c>
      <c r="M28" s="4" t="s">
        <v>6</v>
      </c>
      <c r="N28" s="4" t="s">
        <v>7</v>
      </c>
      <c r="O28" s="5">
        <v>214496</v>
      </c>
      <c r="P28" s="4">
        <v>127.4</v>
      </c>
      <c r="Q28" s="5">
        <v>1637</v>
      </c>
      <c r="R28" s="4">
        <v>1</v>
      </c>
    </row>
    <row r="29" spans="2:18" ht="23" x14ac:dyDescent="0.25">
      <c r="B29" s="4">
        <v>1958</v>
      </c>
      <c r="C29" s="12">
        <v>113884</v>
      </c>
      <c r="D29" s="4">
        <v>66.400000000000006</v>
      </c>
      <c r="E29" s="12">
        <v>7176</v>
      </c>
      <c r="F29" s="4">
        <v>4.2</v>
      </c>
      <c r="G29" s="12">
        <v>16556</v>
      </c>
      <c r="H29" s="4">
        <v>9.6999999999999993</v>
      </c>
      <c r="I29" s="12">
        <v>83027</v>
      </c>
      <c r="J29" s="4">
        <v>48.4</v>
      </c>
      <c r="K29" s="30">
        <v>4866</v>
      </c>
      <c r="L29" s="4">
        <v>114.6</v>
      </c>
      <c r="M29" s="4" t="s">
        <v>6</v>
      </c>
      <c r="N29" s="4" t="s">
        <v>7</v>
      </c>
      <c r="O29" s="5">
        <v>232386</v>
      </c>
      <c r="P29" s="4">
        <v>135.6</v>
      </c>
      <c r="Q29" s="5">
        <v>1595</v>
      </c>
      <c r="R29" s="4">
        <v>0.9</v>
      </c>
    </row>
    <row r="30" spans="2:18" ht="23" x14ac:dyDescent="0.25">
      <c r="B30" s="4">
        <v>1959</v>
      </c>
      <c r="C30" s="12">
        <v>120824</v>
      </c>
      <c r="D30" s="4">
        <v>69.2</v>
      </c>
      <c r="E30" s="12">
        <v>9799</v>
      </c>
      <c r="F30" s="4">
        <v>5.6</v>
      </c>
      <c r="G30" s="12">
        <v>17025</v>
      </c>
      <c r="H30" s="4">
        <v>9.8000000000000007</v>
      </c>
      <c r="I30" s="12">
        <v>86740</v>
      </c>
      <c r="J30" s="4">
        <v>49.7</v>
      </c>
      <c r="K30" s="30">
        <v>5130</v>
      </c>
      <c r="L30" s="4">
        <v>119.7</v>
      </c>
      <c r="M30" s="4" t="s">
        <v>6</v>
      </c>
      <c r="N30" s="4" t="s">
        <v>7</v>
      </c>
      <c r="O30" s="5">
        <v>240254</v>
      </c>
      <c r="P30" s="4">
        <v>137.6</v>
      </c>
      <c r="Q30" s="5">
        <v>1537</v>
      </c>
      <c r="R30" s="4">
        <v>0.9</v>
      </c>
    </row>
    <row r="31" spans="2:18" ht="23" x14ac:dyDescent="0.25">
      <c r="B31" s="4">
        <v>1960</v>
      </c>
      <c r="C31" s="12">
        <v>122538</v>
      </c>
      <c r="D31" s="4">
        <v>68.8</v>
      </c>
      <c r="E31" s="12">
        <v>16145</v>
      </c>
      <c r="F31" s="4">
        <v>9.1</v>
      </c>
      <c r="G31" s="12">
        <v>18017</v>
      </c>
      <c r="H31" s="4">
        <v>10.1</v>
      </c>
      <c r="I31" s="12">
        <v>81798</v>
      </c>
      <c r="J31" s="4">
        <v>45.9</v>
      </c>
      <c r="K31" s="30">
        <v>4416</v>
      </c>
      <c r="L31" s="4">
        <v>103.7</v>
      </c>
      <c r="M31" s="4" t="s">
        <v>6</v>
      </c>
      <c r="N31" s="4" t="s">
        <v>7</v>
      </c>
      <c r="O31" s="5">
        <v>258933</v>
      </c>
      <c r="P31" s="4">
        <v>145.4</v>
      </c>
      <c r="Q31" s="5">
        <v>1680</v>
      </c>
      <c r="R31" s="4">
        <v>0.9</v>
      </c>
    </row>
    <row r="32" spans="2:18" ht="23" x14ac:dyDescent="0.25">
      <c r="B32" s="4">
        <v>1961</v>
      </c>
      <c r="C32" s="12">
        <v>124658</v>
      </c>
      <c r="D32" s="4">
        <v>68.8</v>
      </c>
      <c r="E32" s="12">
        <v>19851</v>
      </c>
      <c r="F32" s="4">
        <v>11</v>
      </c>
      <c r="G32" s="12">
        <v>19486</v>
      </c>
      <c r="H32" s="4">
        <v>10.8</v>
      </c>
      <c r="I32" s="12">
        <v>79304</v>
      </c>
      <c r="J32" s="4">
        <v>43.8</v>
      </c>
      <c r="K32" s="30">
        <v>4163</v>
      </c>
      <c r="L32" s="4">
        <v>97.5</v>
      </c>
      <c r="M32" s="4" t="s">
        <v>6</v>
      </c>
      <c r="N32" s="4" t="s">
        <v>7</v>
      </c>
      <c r="O32" s="5">
        <v>264158</v>
      </c>
      <c r="P32" s="4">
        <v>145.80000000000001</v>
      </c>
      <c r="Q32" s="5">
        <v>1438</v>
      </c>
      <c r="R32" s="4">
        <v>0.8</v>
      </c>
    </row>
    <row r="33" spans="1:26" ht="23" x14ac:dyDescent="0.25">
      <c r="B33" s="4">
        <v>1962</v>
      </c>
      <c r="C33" s="12">
        <v>126245</v>
      </c>
      <c r="D33" s="4">
        <v>68.7</v>
      </c>
      <c r="E33" s="12">
        <v>21067</v>
      </c>
      <c r="F33" s="4">
        <v>11.5</v>
      </c>
      <c r="G33" s="12">
        <v>19585</v>
      </c>
      <c r="H33" s="4">
        <v>10.7</v>
      </c>
      <c r="I33" s="12">
        <v>79533</v>
      </c>
      <c r="J33" s="4">
        <v>43.3</v>
      </c>
      <c r="K33" s="30">
        <v>4070</v>
      </c>
      <c r="L33" s="4">
        <v>97.7</v>
      </c>
      <c r="M33" s="4" t="s">
        <v>6</v>
      </c>
      <c r="N33" s="4" t="s">
        <v>7</v>
      </c>
      <c r="O33" s="5">
        <v>263714</v>
      </c>
      <c r="P33" s="4">
        <v>143.6</v>
      </c>
      <c r="Q33" s="5">
        <v>1344</v>
      </c>
      <c r="R33" s="4">
        <v>0.7</v>
      </c>
    </row>
    <row r="34" spans="1:26" ht="23" x14ac:dyDescent="0.25">
      <c r="B34" s="4">
        <v>1963</v>
      </c>
      <c r="C34" s="12">
        <v>124137</v>
      </c>
      <c r="D34" s="4">
        <v>66.5</v>
      </c>
      <c r="E34" s="12">
        <v>22251</v>
      </c>
      <c r="F34" s="4">
        <v>11.9</v>
      </c>
      <c r="G34" s="12">
        <v>18235</v>
      </c>
      <c r="H34" s="4">
        <v>9.8000000000000007</v>
      </c>
      <c r="I34" s="12">
        <v>78076</v>
      </c>
      <c r="J34" s="4">
        <v>41.8</v>
      </c>
      <c r="K34" s="30">
        <v>4031</v>
      </c>
      <c r="L34" s="4">
        <v>98.4</v>
      </c>
      <c r="M34" s="4" t="s">
        <v>6</v>
      </c>
      <c r="N34" s="4" t="s">
        <v>7</v>
      </c>
      <c r="O34" s="5">
        <v>278289</v>
      </c>
      <c r="P34" s="4">
        <v>149</v>
      </c>
      <c r="Q34" s="5">
        <v>1220</v>
      </c>
      <c r="R34" s="4">
        <v>0.7</v>
      </c>
    </row>
    <row r="35" spans="1:26" ht="23" x14ac:dyDescent="0.25">
      <c r="B35" s="4">
        <v>1964</v>
      </c>
      <c r="C35" s="12">
        <v>114325</v>
      </c>
      <c r="D35" s="4">
        <v>60.4</v>
      </c>
      <c r="E35" s="12">
        <v>22969</v>
      </c>
      <c r="F35" s="4">
        <v>12.1</v>
      </c>
      <c r="G35" s="12">
        <v>17781</v>
      </c>
      <c r="H35" s="4">
        <v>9.4</v>
      </c>
      <c r="I35" s="12">
        <v>68629</v>
      </c>
      <c r="J35" s="4">
        <v>36.299999999999997</v>
      </c>
      <c r="K35" s="30">
        <v>3516</v>
      </c>
      <c r="L35" s="4">
        <v>87.3</v>
      </c>
      <c r="M35" s="4" t="s">
        <v>6</v>
      </c>
      <c r="N35" s="4" t="s">
        <v>7</v>
      </c>
      <c r="O35" s="5">
        <v>300666</v>
      </c>
      <c r="P35" s="4">
        <v>158.9</v>
      </c>
      <c r="Q35" s="5">
        <v>1247</v>
      </c>
      <c r="R35" s="4">
        <v>0.7</v>
      </c>
    </row>
    <row r="36" spans="1:26" ht="23" x14ac:dyDescent="0.25">
      <c r="B36" s="4">
        <v>1965</v>
      </c>
      <c r="C36" s="12">
        <v>112842</v>
      </c>
      <c r="D36" s="4">
        <v>58.9</v>
      </c>
      <c r="E36" s="12">
        <v>23338</v>
      </c>
      <c r="F36" s="4">
        <v>12.2</v>
      </c>
      <c r="G36" s="12">
        <v>17458</v>
      </c>
      <c r="H36" s="4">
        <v>9.1</v>
      </c>
      <c r="I36" s="12">
        <v>67317</v>
      </c>
      <c r="J36" s="4">
        <v>35.1</v>
      </c>
      <c r="K36" s="30">
        <v>3564</v>
      </c>
      <c r="L36" s="4">
        <v>94.8</v>
      </c>
      <c r="M36" s="4" t="s">
        <v>6</v>
      </c>
      <c r="N36" s="4" t="s">
        <v>7</v>
      </c>
      <c r="O36" s="5">
        <v>324925</v>
      </c>
      <c r="P36" s="4">
        <v>169.5</v>
      </c>
      <c r="Q36" s="4">
        <v>982</v>
      </c>
      <c r="R36" s="4">
        <v>0.5</v>
      </c>
    </row>
    <row r="37" spans="1:26" ht="23" x14ac:dyDescent="0.25">
      <c r="B37" s="4">
        <v>1966</v>
      </c>
      <c r="C37" s="12">
        <v>105159</v>
      </c>
      <c r="D37" s="4">
        <v>54.2</v>
      </c>
      <c r="E37" s="12">
        <v>21414</v>
      </c>
      <c r="F37" s="4">
        <v>11</v>
      </c>
      <c r="G37" s="12">
        <v>15950</v>
      </c>
      <c r="H37" s="4">
        <v>8.1999999999999993</v>
      </c>
      <c r="I37" s="12">
        <v>63541</v>
      </c>
      <c r="J37" s="4">
        <v>32.700000000000003</v>
      </c>
      <c r="K37" s="30">
        <v>3170</v>
      </c>
      <c r="L37" s="4">
        <v>87.9</v>
      </c>
      <c r="M37" s="4" t="s">
        <v>6</v>
      </c>
      <c r="N37" s="4" t="s">
        <v>7</v>
      </c>
      <c r="O37" s="5">
        <v>351738</v>
      </c>
      <c r="P37" s="4">
        <v>181.2</v>
      </c>
      <c r="Q37" s="4">
        <v>838</v>
      </c>
      <c r="R37" s="4">
        <v>0.4</v>
      </c>
    </row>
    <row r="38" spans="1:26" ht="23" x14ac:dyDescent="0.25">
      <c r="B38" s="4">
        <v>1967</v>
      </c>
      <c r="C38" s="12">
        <v>102581</v>
      </c>
      <c r="D38" s="4">
        <v>52.2</v>
      </c>
      <c r="E38" s="12">
        <v>21053</v>
      </c>
      <c r="F38" s="4">
        <v>10.7</v>
      </c>
      <c r="G38" s="12">
        <v>15554</v>
      </c>
      <c r="H38" s="4">
        <v>7.9</v>
      </c>
      <c r="I38" s="12">
        <v>61975</v>
      </c>
      <c r="J38" s="4">
        <v>31.5</v>
      </c>
      <c r="K38" s="30">
        <v>2894</v>
      </c>
      <c r="L38" s="4">
        <v>82.2</v>
      </c>
      <c r="M38" s="4" t="s">
        <v>6</v>
      </c>
      <c r="N38" s="4" t="s">
        <v>7</v>
      </c>
      <c r="O38" s="5">
        <v>404836</v>
      </c>
      <c r="P38" s="4">
        <v>205.9</v>
      </c>
      <c r="Q38" s="4">
        <v>784</v>
      </c>
      <c r="R38" s="4">
        <v>0.4</v>
      </c>
    </row>
    <row r="39" spans="1:26" ht="27" x14ac:dyDescent="0.35">
      <c r="B39" s="4">
        <v>1968</v>
      </c>
      <c r="C39" s="12">
        <v>96271</v>
      </c>
      <c r="D39" s="4">
        <v>48.4</v>
      </c>
      <c r="E39" s="12">
        <v>19019</v>
      </c>
      <c r="F39" s="4">
        <v>9.6</v>
      </c>
      <c r="G39" s="12">
        <v>15150</v>
      </c>
      <c r="H39" s="4">
        <v>7.6</v>
      </c>
      <c r="I39" s="12">
        <v>58564</v>
      </c>
      <c r="J39" s="4">
        <v>29.4</v>
      </c>
      <c r="K39" s="30">
        <v>2381</v>
      </c>
      <c r="L39" s="4">
        <v>68</v>
      </c>
      <c r="M39" s="4" t="s">
        <v>6</v>
      </c>
      <c r="N39" s="4" t="s">
        <v>7</v>
      </c>
      <c r="O39" s="5">
        <v>464543</v>
      </c>
      <c r="P39" s="4">
        <v>233.4</v>
      </c>
      <c r="Q39" s="4">
        <v>845</v>
      </c>
      <c r="R39" s="4">
        <v>0.4</v>
      </c>
      <c r="T39" s="22" t="s">
        <v>19</v>
      </c>
      <c r="U39" s="23"/>
      <c r="V39" s="23"/>
      <c r="W39" s="23"/>
      <c r="X39" s="23"/>
      <c r="Y39" s="23"/>
    </row>
    <row r="40" spans="1:26" ht="27" x14ac:dyDescent="0.35">
      <c r="B40" s="4">
        <v>1969</v>
      </c>
      <c r="C40" s="12">
        <v>92162</v>
      </c>
      <c r="D40" s="4">
        <v>45.7</v>
      </c>
      <c r="E40" s="12">
        <v>19130</v>
      </c>
      <c r="F40" s="4">
        <v>9.5</v>
      </c>
      <c r="G40" s="12">
        <v>15402</v>
      </c>
      <c r="H40" s="4">
        <v>7.6</v>
      </c>
      <c r="I40" s="12">
        <v>54587</v>
      </c>
      <c r="J40" s="4">
        <v>27.1</v>
      </c>
      <c r="K40" s="30">
        <v>2074</v>
      </c>
      <c r="L40" s="4">
        <v>57.6</v>
      </c>
      <c r="M40" s="4" t="s">
        <v>6</v>
      </c>
      <c r="N40" s="4" t="s">
        <v>7</v>
      </c>
      <c r="O40" s="5">
        <v>534872</v>
      </c>
      <c r="P40" s="4">
        <v>265.39999999999998</v>
      </c>
      <c r="Q40" s="5">
        <v>1104</v>
      </c>
      <c r="R40" s="4">
        <v>0.5</v>
      </c>
      <c r="T40" s="23" t="s">
        <v>20</v>
      </c>
      <c r="U40" s="23" t="s">
        <v>21</v>
      </c>
      <c r="V40" s="23" t="s">
        <v>22</v>
      </c>
      <c r="W40" s="23" t="s">
        <v>23</v>
      </c>
      <c r="X40" s="23" t="s">
        <v>24</v>
      </c>
      <c r="Y40" s="23" t="s">
        <v>25</v>
      </c>
    </row>
    <row r="41" spans="1:26" ht="27" x14ac:dyDescent="0.35">
      <c r="A41" s="6">
        <f>C41/C61</f>
        <v>0.67395825650859209</v>
      </c>
      <c r="B41" s="18">
        <v>1970</v>
      </c>
      <c r="C41" s="19">
        <v>91382</v>
      </c>
      <c r="D41" s="18">
        <v>44.8</v>
      </c>
      <c r="E41" s="21">
        <v>21982</v>
      </c>
      <c r="F41" s="28">
        <v>10.8</v>
      </c>
      <c r="G41" s="21">
        <v>16311</v>
      </c>
      <c r="H41" s="28">
        <v>8</v>
      </c>
      <c r="I41" s="21">
        <v>50348</v>
      </c>
      <c r="J41" s="28">
        <v>24.7</v>
      </c>
      <c r="K41" s="31">
        <v>1953</v>
      </c>
      <c r="L41" s="18">
        <v>52.3</v>
      </c>
      <c r="M41" s="18" t="s">
        <v>6</v>
      </c>
      <c r="N41" s="18" t="s">
        <v>7</v>
      </c>
      <c r="O41" s="20">
        <v>600072</v>
      </c>
      <c r="P41" s="18">
        <v>294.2</v>
      </c>
      <c r="Q41" s="20">
        <v>1416</v>
      </c>
      <c r="R41" s="18">
        <v>0.7</v>
      </c>
      <c r="T41" s="26">
        <f>$E41/E61</f>
        <v>0.43461584087943372</v>
      </c>
      <c r="U41" s="26">
        <f>F41/F61</f>
        <v>0.53201970443349755</v>
      </c>
      <c r="V41" s="26">
        <f>G41/G61</f>
        <v>0.29443832698521583</v>
      </c>
      <c r="W41" s="26">
        <f>H41/H61</f>
        <v>0.3603603603603604</v>
      </c>
      <c r="X41" s="26">
        <f>I41/I61</f>
        <v>1.9552621359223301</v>
      </c>
      <c r="Y41" s="26">
        <f>J41/J61</f>
        <v>2.3980582524271843</v>
      </c>
      <c r="Z41" s="26">
        <f>C41/C61</f>
        <v>0.67395825650859209</v>
      </c>
    </row>
    <row r="42" spans="1:26" ht="27" x14ac:dyDescent="0.35">
      <c r="B42" s="4">
        <v>1971</v>
      </c>
      <c r="C42" s="12">
        <v>95997</v>
      </c>
      <c r="D42" s="4">
        <v>46.4</v>
      </c>
      <c r="E42" s="12">
        <v>23783</v>
      </c>
      <c r="F42" s="4">
        <v>11.5</v>
      </c>
      <c r="G42" s="12">
        <v>19417</v>
      </c>
      <c r="H42" s="4">
        <v>9.4</v>
      </c>
      <c r="I42" s="12">
        <v>49993</v>
      </c>
      <c r="J42" s="4">
        <v>24.2</v>
      </c>
      <c r="K42" s="30">
        <v>2052</v>
      </c>
      <c r="L42" s="4">
        <v>57.7</v>
      </c>
      <c r="M42" s="4" t="s">
        <v>6</v>
      </c>
      <c r="N42" s="4" t="s">
        <v>7</v>
      </c>
      <c r="O42" s="5">
        <v>670268</v>
      </c>
      <c r="P42" s="4">
        <v>324.10000000000002</v>
      </c>
      <c r="Q42" s="5">
        <v>1320</v>
      </c>
      <c r="R42" s="4">
        <v>0.6</v>
      </c>
      <c r="T42" s="26">
        <f>$E42/E62</f>
        <v>0.55373690337601866</v>
      </c>
    </row>
    <row r="43" spans="1:26" ht="23" x14ac:dyDescent="0.25">
      <c r="B43" s="4">
        <v>1972</v>
      </c>
      <c r="C43" s="12">
        <v>91149</v>
      </c>
      <c r="D43" s="4">
        <v>43.6</v>
      </c>
      <c r="E43" s="12">
        <v>24429</v>
      </c>
      <c r="F43" s="4">
        <v>11.7</v>
      </c>
      <c r="G43" s="12">
        <v>20784</v>
      </c>
      <c r="H43" s="4">
        <v>9.9</v>
      </c>
      <c r="I43" s="12">
        <v>43456</v>
      </c>
      <c r="J43" s="4">
        <v>20.8</v>
      </c>
      <c r="K43" s="30">
        <v>1758</v>
      </c>
      <c r="L43" s="4">
        <v>54</v>
      </c>
      <c r="M43" s="4" t="s">
        <v>6</v>
      </c>
      <c r="N43" s="4" t="s">
        <v>7</v>
      </c>
      <c r="O43" s="5">
        <v>767215</v>
      </c>
      <c r="P43" s="4">
        <v>366.6</v>
      </c>
      <c r="Q43" s="5">
        <v>1414</v>
      </c>
      <c r="R43" s="4">
        <v>0.7</v>
      </c>
    </row>
    <row r="44" spans="1:26" ht="23" x14ac:dyDescent="0.25">
      <c r="B44" s="4">
        <v>1973</v>
      </c>
      <c r="C44" s="12">
        <v>87469</v>
      </c>
      <c r="D44" s="4">
        <v>41.4</v>
      </c>
      <c r="E44" s="12">
        <v>24825</v>
      </c>
      <c r="F44" s="4">
        <v>11.7</v>
      </c>
      <c r="G44" s="12">
        <v>23584</v>
      </c>
      <c r="H44" s="4">
        <v>11.2</v>
      </c>
      <c r="I44" s="12">
        <v>37054</v>
      </c>
      <c r="J44" s="4">
        <v>17.5</v>
      </c>
      <c r="K44" s="30">
        <v>1527</v>
      </c>
      <c r="L44" s="4">
        <v>48.7</v>
      </c>
      <c r="M44" s="4" t="s">
        <v>6</v>
      </c>
      <c r="N44" s="4" t="s">
        <v>7</v>
      </c>
      <c r="O44" s="5">
        <v>842621</v>
      </c>
      <c r="P44" s="4">
        <v>398.7</v>
      </c>
      <c r="Q44" s="5">
        <v>1165</v>
      </c>
      <c r="R44" s="4">
        <v>0.6</v>
      </c>
    </row>
    <row r="45" spans="1:26" ht="23" x14ac:dyDescent="0.25">
      <c r="B45" s="4">
        <v>1974</v>
      </c>
      <c r="C45" s="12">
        <v>83771</v>
      </c>
      <c r="D45" s="4">
        <v>39.299999999999997</v>
      </c>
      <c r="E45" s="12">
        <v>25385</v>
      </c>
      <c r="F45" s="4">
        <v>11.9</v>
      </c>
      <c r="G45" s="12">
        <v>25124</v>
      </c>
      <c r="H45" s="4">
        <v>11.8</v>
      </c>
      <c r="I45" s="12">
        <v>31854</v>
      </c>
      <c r="J45" s="4">
        <v>14.9</v>
      </c>
      <c r="K45" s="30">
        <v>1138</v>
      </c>
      <c r="L45" s="4">
        <v>36</v>
      </c>
      <c r="M45" s="4" t="s">
        <v>6</v>
      </c>
      <c r="N45" s="4" t="s">
        <v>7</v>
      </c>
      <c r="O45" s="5">
        <v>906121</v>
      </c>
      <c r="P45" s="4">
        <v>424.7</v>
      </c>
      <c r="Q45" s="4">
        <v>945</v>
      </c>
      <c r="R45" s="4">
        <v>0.4</v>
      </c>
    </row>
    <row r="46" spans="1:26" ht="23" x14ac:dyDescent="0.25">
      <c r="B46" s="4">
        <v>1975</v>
      </c>
      <c r="C46" s="12">
        <v>80356</v>
      </c>
      <c r="D46" s="4">
        <v>37.299999999999997</v>
      </c>
      <c r="E46" s="12">
        <v>25561</v>
      </c>
      <c r="F46" s="4">
        <v>11.9</v>
      </c>
      <c r="G46" s="12">
        <v>26569</v>
      </c>
      <c r="H46" s="4">
        <v>12.3</v>
      </c>
      <c r="I46" s="12">
        <v>27096</v>
      </c>
      <c r="J46" s="4">
        <v>12.6</v>
      </c>
      <c r="K46" s="32">
        <v>916</v>
      </c>
      <c r="L46" s="4">
        <v>29.1</v>
      </c>
      <c r="M46" s="4" t="s">
        <v>6</v>
      </c>
      <c r="N46" s="4" t="s">
        <v>7</v>
      </c>
      <c r="O46" s="5">
        <v>999937</v>
      </c>
      <c r="P46" s="4">
        <v>464.1</v>
      </c>
      <c r="Q46" s="4">
        <v>700</v>
      </c>
      <c r="R46" s="4">
        <v>0.3</v>
      </c>
    </row>
    <row r="47" spans="1:26" ht="23" x14ac:dyDescent="0.25">
      <c r="B47" s="4">
        <v>1976</v>
      </c>
      <c r="C47" s="12">
        <v>71761</v>
      </c>
      <c r="D47" s="4">
        <v>33</v>
      </c>
      <c r="E47" s="12">
        <v>23731</v>
      </c>
      <c r="F47" s="4">
        <v>10.9</v>
      </c>
      <c r="G47" s="12">
        <v>25363</v>
      </c>
      <c r="H47" s="4">
        <v>11.7</v>
      </c>
      <c r="I47" s="12">
        <v>21905</v>
      </c>
      <c r="J47" s="4">
        <v>10.1</v>
      </c>
      <c r="K47" s="32">
        <v>626</v>
      </c>
      <c r="L47" s="4">
        <v>19.8</v>
      </c>
      <c r="M47" s="4" t="s">
        <v>6</v>
      </c>
      <c r="N47" s="4" t="s">
        <v>7</v>
      </c>
      <c r="O47" s="5">
        <v>1001994</v>
      </c>
      <c r="P47" s="4">
        <v>460.6</v>
      </c>
      <c r="Q47" s="4">
        <v>628</v>
      </c>
      <c r="R47" s="4">
        <v>0.3</v>
      </c>
    </row>
    <row r="48" spans="1:26" ht="23" x14ac:dyDescent="0.25">
      <c r="B48" s="4">
        <v>1977</v>
      </c>
      <c r="C48" s="12">
        <v>64621</v>
      </c>
      <c r="D48" s="4">
        <v>29.4</v>
      </c>
      <c r="E48" s="12">
        <v>20399</v>
      </c>
      <c r="F48" s="4">
        <v>9.3000000000000007</v>
      </c>
      <c r="G48" s="12">
        <v>21329</v>
      </c>
      <c r="H48" s="4">
        <v>9.6999999999999993</v>
      </c>
      <c r="I48" s="12">
        <v>22313</v>
      </c>
      <c r="J48" s="4">
        <v>10.199999999999999</v>
      </c>
      <c r="K48" s="32">
        <v>463</v>
      </c>
      <c r="L48" s="4">
        <v>13.9</v>
      </c>
      <c r="M48" s="4" t="s">
        <v>6</v>
      </c>
      <c r="N48" s="4" t="s">
        <v>7</v>
      </c>
      <c r="O48" s="5">
        <v>1002219</v>
      </c>
      <c r="P48" s="4">
        <v>456</v>
      </c>
      <c r="Q48" s="4">
        <v>455</v>
      </c>
      <c r="R48" s="4">
        <v>0.2</v>
      </c>
    </row>
    <row r="49" spans="1:18" ht="23" x14ac:dyDescent="0.25">
      <c r="B49" s="4">
        <v>1978</v>
      </c>
      <c r="C49" s="12">
        <v>64875</v>
      </c>
      <c r="D49" s="4">
        <v>29.2</v>
      </c>
      <c r="E49" s="12">
        <v>21656</v>
      </c>
      <c r="F49" s="4">
        <v>9.8000000000000007</v>
      </c>
      <c r="G49" s="12">
        <v>19628</v>
      </c>
      <c r="H49" s="4">
        <v>8.8000000000000007</v>
      </c>
      <c r="I49" s="12">
        <v>23038</v>
      </c>
      <c r="J49" s="4">
        <v>10.4</v>
      </c>
      <c r="K49" s="32">
        <v>434</v>
      </c>
      <c r="L49" s="4">
        <v>13</v>
      </c>
      <c r="M49" s="4" t="s">
        <v>6</v>
      </c>
      <c r="N49" s="4" t="s">
        <v>7</v>
      </c>
      <c r="O49" s="5">
        <v>1013436</v>
      </c>
      <c r="P49" s="4">
        <v>456.3</v>
      </c>
      <c r="Q49" s="4">
        <v>521</v>
      </c>
      <c r="R49" s="4">
        <v>0.2</v>
      </c>
    </row>
    <row r="50" spans="1:18" ht="23" x14ac:dyDescent="0.25">
      <c r="B50" s="4">
        <v>1979</v>
      </c>
      <c r="C50" s="12">
        <v>67049</v>
      </c>
      <c r="D50" s="4">
        <v>29.9</v>
      </c>
      <c r="E50" s="12">
        <v>24874</v>
      </c>
      <c r="F50" s="4">
        <v>11.1</v>
      </c>
      <c r="G50" s="12">
        <v>20459</v>
      </c>
      <c r="H50" s="4">
        <v>9.1</v>
      </c>
      <c r="I50" s="12">
        <v>21301</v>
      </c>
      <c r="J50" s="4">
        <v>9.5</v>
      </c>
      <c r="K50" s="32">
        <v>332</v>
      </c>
      <c r="L50" s="4">
        <v>9.5</v>
      </c>
      <c r="M50" s="4" t="s">
        <v>6</v>
      </c>
      <c r="N50" s="4" t="s">
        <v>7</v>
      </c>
      <c r="O50" s="5">
        <v>1004058</v>
      </c>
      <c r="P50" s="4">
        <v>447.1</v>
      </c>
      <c r="Q50" s="4">
        <v>840</v>
      </c>
      <c r="R50" s="4">
        <v>0.4</v>
      </c>
    </row>
    <row r="51" spans="1:18" ht="23" x14ac:dyDescent="0.25">
      <c r="B51" s="4">
        <v>1980</v>
      </c>
      <c r="C51" s="12">
        <v>68832</v>
      </c>
      <c r="D51" s="4">
        <v>30.3</v>
      </c>
      <c r="E51" s="12">
        <v>27204</v>
      </c>
      <c r="F51" s="4">
        <v>12</v>
      </c>
      <c r="G51" s="12">
        <v>20297</v>
      </c>
      <c r="H51" s="4">
        <v>8.9</v>
      </c>
      <c r="I51" s="12">
        <v>20979</v>
      </c>
      <c r="J51" s="4">
        <v>9.1999999999999993</v>
      </c>
      <c r="K51" s="32">
        <v>277</v>
      </c>
      <c r="L51" s="4">
        <v>7.7</v>
      </c>
      <c r="M51" s="4" t="s">
        <v>6</v>
      </c>
      <c r="N51" s="4" t="s">
        <v>7</v>
      </c>
      <c r="O51" s="5">
        <v>1004029</v>
      </c>
      <c r="P51" s="4">
        <v>442.1</v>
      </c>
      <c r="Q51" s="4">
        <v>788</v>
      </c>
      <c r="R51" s="4">
        <v>0.3</v>
      </c>
    </row>
    <row r="52" spans="1:18" ht="23" x14ac:dyDescent="0.25">
      <c r="B52" s="4">
        <v>1981</v>
      </c>
      <c r="C52" s="12">
        <v>72799</v>
      </c>
      <c r="D52" s="4">
        <v>31.7</v>
      </c>
      <c r="E52" s="12">
        <v>31266</v>
      </c>
      <c r="F52" s="4">
        <v>13.6</v>
      </c>
      <c r="G52" s="12">
        <v>21033</v>
      </c>
      <c r="H52" s="4">
        <v>9.1999999999999993</v>
      </c>
      <c r="I52" s="12">
        <v>20168</v>
      </c>
      <c r="J52" s="4">
        <v>8.8000000000000007</v>
      </c>
      <c r="K52" s="32">
        <v>287</v>
      </c>
      <c r="L52" s="4">
        <v>7.9</v>
      </c>
      <c r="M52" s="4" t="s">
        <v>6</v>
      </c>
      <c r="N52" s="4" t="s">
        <v>7</v>
      </c>
      <c r="O52" s="5">
        <v>990864</v>
      </c>
      <c r="P52" s="4">
        <v>431.8</v>
      </c>
      <c r="Q52" s="4">
        <v>850</v>
      </c>
      <c r="R52" s="4">
        <v>0.4</v>
      </c>
    </row>
    <row r="53" spans="1:18" ht="23" x14ac:dyDescent="0.25">
      <c r="B53" s="4">
        <v>1982</v>
      </c>
      <c r="C53" s="12">
        <v>75579</v>
      </c>
      <c r="D53" s="4">
        <v>32.6</v>
      </c>
      <c r="E53" s="12">
        <v>33613</v>
      </c>
      <c r="F53" s="4">
        <v>14.5</v>
      </c>
      <c r="G53" s="12">
        <v>21894</v>
      </c>
      <c r="H53" s="4">
        <v>9.5</v>
      </c>
      <c r="I53" s="12">
        <v>19779</v>
      </c>
      <c r="J53" s="4">
        <v>8.5</v>
      </c>
      <c r="K53" s="32">
        <v>259</v>
      </c>
      <c r="L53" s="4">
        <v>7</v>
      </c>
      <c r="M53" s="4" t="s">
        <v>6</v>
      </c>
      <c r="N53" s="4" t="s">
        <v>7</v>
      </c>
      <c r="O53" s="5">
        <v>960633</v>
      </c>
      <c r="P53" s="4">
        <v>414.7</v>
      </c>
      <c r="Q53" s="5">
        <v>1392</v>
      </c>
      <c r="R53" s="4">
        <v>0.6</v>
      </c>
    </row>
    <row r="54" spans="1:18" ht="23" x14ac:dyDescent="0.25">
      <c r="B54" s="4">
        <v>1983</v>
      </c>
      <c r="C54" s="12">
        <v>74637</v>
      </c>
      <c r="D54" s="4">
        <v>31.9</v>
      </c>
      <c r="E54" s="12">
        <v>32698</v>
      </c>
      <c r="F54" s="4">
        <v>14</v>
      </c>
      <c r="G54" s="12">
        <v>23738</v>
      </c>
      <c r="H54" s="4">
        <v>10.199999999999999</v>
      </c>
      <c r="I54" s="12">
        <v>17896</v>
      </c>
      <c r="J54" s="4">
        <v>7.7</v>
      </c>
      <c r="K54" s="32">
        <v>239</v>
      </c>
      <c r="L54" s="4">
        <v>6.6</v>
      </c>
      <c r="M54" s="4" t="s">
        <v>6</v>
      </c>
      <c r="N54" s="4" t="s">
        <v>7</v>
      </c>
      <c r="O54" s="5">
        <v>900435</v>
      </c>
      <c r="P54" s="4">
        <v>385.1</v>
      </c>
      <c r="Q54" s="4">
        <v>847</v>
      </c>
      <c r="R54" s="4">
        <v>0.4</v>
      </c>
    </row>
    <row r="55" spans="1:18" ht="23" x14ac:dyDescent="0.25">
      <c r="B55" s="4">
        <v>1984</v>
      </c>
      <c r="C55" s="12">
        <v>69872</v>
      </c>
      <c r="D55" s="4">
        <v>29.6</v>
      </c>
      <c r="E55" s="12">
        <v>28607</v>
      </c>
      <c r="F55" s="4">
        <v>12.1</v>
      </c>
      <c r="G55" s="12">
        <v>23131</v>
      </c>
      <c r="H55" s="4">
        <v>9.8000000000000007</v>
      </c>
      <c r="I55" s="12">
        <v>17829</v>
      </c>
      <c r="J55" s="4">
        <v>7.6</v>
      </c>
      <c r="K55" s="32">
        <v>305</v>
      </c>
      <c r="L55" s="4">
        <v>8.3000000000000007</v>
      </c>
      <c r="M55" s="5">
        <v>7594</v>
      </c>
      <c r="N55" s="4">
        <v>6.5</v>
      </c>
      <c r="O55" s="5">
        <v>878556</v>
      </c>
      <c r="P55" s="4">
        <v>372.5</v>
      </c>
      <c r="Q55" s="4">
        <v>665</v>
      </c>
      <c r="R55" s="4">
        <v>0.3</v>
      </c>
    </row>
    <row r="56" spans="1:18" ht="23" x14ac:dyDescent="0.25">
      <c r="B56" s="4">
        <v>1985</v>
      </c>
      <c r="C56" s="12">
        <v>67563</v>
      </c>
      <c r="D56" s="4">
        <v>28.4</v>
      </c>
      <c r="E56" s="12">
        <v>27131</v>
      </c>
      <c r="F56" s="4">
        <v>11.4</v>
      </c>
      <c r="G56" s="12">
        <v>21689</v>
      </c>
      <c r="H56" s="4">
        <v>9.1</v>
      </c>
      <c r="I56" s="12">
        <v>18414</v>
      </c>
      <c r="J56" s="4">
        <v>7.7</v>
      </c>
      <c r="K56" s="32">
        <v>329</v>
      </c>
      <c r="L56" s="4">
        <v>8.6999999999999993</v>
      </c>
      <c r="M56" s="5">
        <v>25848</v>
      </c>
      <c r="N56" s="4">
        <v>17.399999999999999</v>
      </c>
      <c r="O56" s="5">
        <v>911419</v>
      </c>
      <c r="P56" s="4">
        <v>383</v>
      </c>
      <c r="Q56" s="5">
        <v>2067</v>
      </c>
      <c r="R56" s="4">
        <v>0.9</v>
      </c>
    </row>
    <row r="57" spans="1:18" ht="23" x14ac:dyDescent="0.25">
      <c r="B57" s="4">
        <v>1986</v>
      </c>
      <c r="C57" s="12">
        <v>67779</v>
      </c>
      <c r="D57" s="4">
        <v>28.2</v>
      </c>
      <c r="E57" s="12">
        <v>27667</v>
      </c>
      <c r="F57" s="4">
        <v>11.5</v>
      </c>
      <c r="G57" s="12">
        <v>21656</v>
      </c>
      <c r="H57" s="4">
        <v>9</v>
      </c>
      <c r="I57" s="12">
        <v>18046</v>
      </c>
      <c r="J57" s="4">
        <v>7.5</v>
      </c>
      <c r="K57" s="32">
        <v>410</v>
      </c>
      <c r="L57" s="4">
        <v>10.9</v>
      </c>
      <c r="M57" s="5">
        <v>58001</v>
      </c>
      <c r="N57" s="4">
        <v>35.200000000000003</v>
      </c>
      <c r="O57" s="5">
        <v>892229</v>
      </c>
      <c r="P57" s="4">
        <v>371.5</v>
      </c>
      <c r="Q57" s="5">
        <v>3045</v>
      </c>
      <c r="R57" s="4">
        <v>1.3</v>
      </c>
    </row>
    <row r="58" spans="1:18" ht="23" x14ac:dyDescent="0.25">
      <c r="B58" s="4">
        <v>1987</v>
      </c>
      <c r="C58" s="12">
        <v>87286</v>
      </c>
      <c r="D58" s="4">
        <v>36</v>
      </c>
      <c r="E58" s="12">
        <v>35585</v>
      </c>
      <c r="F58" s="4">
        <v>14.7</v>
      </c>
      <c r="G58" s="12">
        <v>28233</v>
      </c>
      <c r="H58" s="4">
        <v>11.7</v>
      </c>
      <c r="I58" s="12">
        <v>22988</v>
      </c>
      <c r="J58" s="4">
        <v>9.5</v>
      </c>
      <c r="K58" s="32">
        <v>480</v>
      </c>
      <c r="L58" s="4">
        <v>12.6</v>
      </c>
      <c r="M58" s="5">
        <v>91913</v>
      </c>
      <c r="N58" s="4">
        <v>50.8</v>
      </c>
      <c r="O58" s="5">
        <v>787532</v>
      </c>
      <c r="P58" s="4">
        <v>325</v>
      </c>
      <c r="Q58" s="5">
        <v>4986</v>
      </c>
      <c r="R58" s="4">
        <v>2.1</v>
      </c>
    </row>
    <row r="59" spans="1:18" ht="23" x14ac:dyDescent="0.25">
      <c r="B59" s="4">
        <v>1988</v>
      </c>
      <c r="C59" s="12">
        <v>104546</v>
      </c>
      <c r="D59" s="4">
        <v>42.8</v>
      </c>
      <c r="E59" s="12">
        <v>40474</v>
      </c>
      <c r="F59" s="4">
        <v>16.600000000000001</v>
      </c>
      <c r="G59" s="12">
        <v>35968</v>
      </c>
      <c r="H59" s="4">
        <v>14.7</v>
      </c>
      <c r="I59" s="12">
        <v>27363</v>
      </c>
      <c r="J59" s="4">
        <v>11.2</v>
      </c>
      <c r="K59" s="32">
        <v>741</v>
      </c>
      <c r="L59" s="4">
        <v>19</v>
      </c>
      <c r="M59" s="5">
        <v>157854</v>
      </c>
      <c r="N59" s="4">
        <v>87.1</v>
      </c>
      <c r="O59" s="5">
        <v>738160</v>
      </c>
      <c r="P59" s="4">
        <v>301.89999999999998</v>
      </c>
      <c r="Q59" s="5">
        <v>4891</v>
      </c>
      <c r="R59" s="4">
        <v>2</v>
      </c>
    </row>
    <row r="60" spans="1:18" ht="23" x14ac:dyDescent="0.25">
      <c r="B60" s="4">
        <v>1989</v>
      </c>
      <c r="C60" s="12">
        <v>115089</v>
      </c>
      <c r="D60" s="4">
        <v>46.6</v>
      </c>
      <c r="E60" s="12">
        <v>45826</v>
      </c>
      <c r="F60" s="4">
        <v>18.600000000000001</v>
      </c>
      <c r="G60" s="12">
        <v>45394</v>
      </c>
      <c r="H60" s="4">
        <v>18.399999999999999</v>
      </c>
      <c r="I60" s="12">
        <v>22032</v>
      </c>
      <c r="J60" s="4">
        <v>8.9</v>
      </c>
      <c r="K60" s="30">
        <v>1837</v>
      </c>
      <c r="L60" s="4">
        <v>45.5</v>
      </c>
      <c r="M60" s="5">
        <v>200904</v>
      </c>
      <c r="N60" s="4">
        <v>102.5</v>
      </c>
      <c r="O60" s="5">
        <v>733294</v>
      </c>
      <c r="P60" s="4">
        <v>297.10000000000002</v>
      </c>
      <c r="Q60" s="5">
        <v>4697</v>
      </c>
      <c r="R60" s="4">
        <v>1.9</v>
      </c>
    </row>
    <row r="61" spans="1:18" ht="24" x14ac:dyDescent="0.3">
      <c r="A61" s="7">
        <f>C61/C41</f>
        <v>1.4837714210676063</v>
      </c>
      <c r="B61" s="14">
        <v>1990</v>
      </c>
      <c r="C61" s="15">
        <v>135590</v>
      </c>
      <c r="D61" s="14">
        <v>54.3</v>
      </c>
      <c r="E61" s="17">
        <v>50578</v>
      </c>
      <c r="F61" s="27">
        <v>20.3</v>
      </c>
      <c r="G61" s="17">
        <v>55397</v>
      </c>
      <c r="H61" s="27">
        <v>22.2</v>
      </c>
      <c r="I61" s="17">
        <v>25750</v>
      </c>
      <c r="J61" s="27">
        <v>10.3</v>
      </c>
      <c r="K61" s="33">
        <v>3865</v>
      </c>
      <c r="L61" s="14">
        <v>92.9</v>
      </c>
      <c r="M61" s="16">
        <v>323663</v>
      </c>
      <c r="N61" s="14">
        <v>160.19999999999999</v>
      </c>
      <c r="O61" s="16">
        <v>690042</v>
      </c>
      <c r="P61" s="14">
        <v>276.39999999999998</v>
      </c>
      <c r="Q61" s="16">
        <v>4212</v>
      </c>
      <c r="R61" s="14">
        <v>1.7</v>
      </c>
    </row>
    <row r="62" spans="1:18" ht="23" x14ac:dyDescent="0.25">
      <c r="B62" s="4">
        <v>1991</v>
      </c>
      <c r="C62" s="12">
        <v>128719</v>
      </c>
      <c r="D62" s="4">
        <v>50.9</v>
      </c>
      <c r="E62" s="12">
        <v>42950</v>
      </c>
      <c r="F62" s="4">
        <v>17</v>
      </c>
      <c r="G62" s="12">
        <v>53855</v>
      </c>
      <c r="H62" s="4">
        <v>21.3</v>
      </c>
      <c r="I62" s="12">
        <v>27490</v>
      </c>
      <c r="J62" s="4">
        <v>10.9</v>
      </c>
      <c r="K62" s="30">
        <v>4424</v>
      </c>
      <c r="L62" s="4">
        <v>107.6</v>
      </c>
      <c r="M62" s="5">
        <v>381228</v>
      </c>
      <c r="N62" s="4">
        <v>179.7</v>
      </c>
      <c r="O62" s="5">
        <v>621918</v>
      </c>
      <c r="P62" s="4">
        <v>245.8</v>
      </c>
      <c r="Q62" s="5">
        <v>3476</v>
      </c>
      <c r="R62" s="4">
        <v>1.4</v>
      </c>
    </row>
    <row r="63" spans="1:18" ht="23" x14ac:dyDescent="0.25">
      <c r="B63" s="4">
        <v>1992</v>
      </c>
      <c r="C63" s="12">
        <v>114730</v>
      </c>
      <c r="D63" s="4">
        <v>44.7</v>
      </c>
      <c r="E63" s="12">
        <v>34009</v>
      </c>
      <c r="F63" s="4">
        <v>13.3</v>
      </c>
      <c r="G63" s="12">
        <v>49929</v>
      </c>
      <c r="H63" s="4">
        <v>19.5</v>
      </c>
      <c r="I63" s="12">
        <v>26725</v>
      </c>
      <c r="J63" s="4">
        <v>10.4</v>
      </c>
      <c r="K63" s="30">
        <v>4067</v>
      </c>
      <c r="L63" s="4">
        <v>100</v>
      </c>
      <c r="M63" s="5">
        <v>409694</v>
      </c>
      <c r="N63" s="4">
        <v>182.3</v>
      </c>
      <c r="O63" s="5">
        <v>502858</v>
      </c>
      <c r="P63" s="4">
        <v>196</v>
      </c>
      <c r="Q63" s="5">
        <v>1906</v>
      </c>
      <c r="R63" s="4">
        <v>0.7</v>
      </c>
    </row>
    <row r="64" spans="1:18" ht="23" x14ac:dyDescent="0.25">
      <c r="B64" s="4">
        <v>1993</v>
      </c>
      <c r="C64" s="12">
        <v>102612</v>
      </c>
      <c r="D64" s="4">
        <v>39.5</v>
      </c>
      <c r="E64" s="12">
        <v>26527</v>
      </c>
      <c r="F64" s="4">
        <v>10.199999999999999</v>
      </c>
      <c r="G64" s="12">
        <v>41919</v>
      </c>
      <c r="H64" s="4">
        <v>16.100000000000001</v>
      </c>
      <c r="I64" s="12">
        <v>30746</v>
      </c>
      <c r="J64" s="4">
        <v>11.8</v>
      </c>
      <c r="K64" s="30">
        <v>3420</v>
      </c>
      <c r="L64" s="4">
        <v>85.5</v>
      </c>
      <c r="M64" s="5">
        <v>405332</v>
      </c>
      <c r="N64" s="4">
        <v>178</v>
      </c>
      <c r="O64" s="5">
        <v>444649</v>
      </c>
      <c r="P64" s="4">
        <v>171.1</v>
      </c>
      <c r="Q64" s="5">
        <v>1292</v>
      </c>
      <c r="R64" s="4">
        <v>0.5</v>
      </c>
    </row>
    <row r="65" spans="2:18" ht="23" x14ac:dyDescent="0.25">
      <c r="B65" s="4">
        <v>1994</v>
      </c>
      <c r="C65" s="12">
        <v>82713</v>
      </c>
      <c r="D65" s="4">
        <v>31.4</v>
      </c>
      <c r="E65" s="12">
        <v>20641</v>
      </c>
      <c r="F65" s="4">
        <v>7.8</v>
      </c>
      <c r="G65" s="12">
        <v>32017</v>
      </c>
      <c r="H65" s="4">
        <v>12.2</v>
      </c>
      <c r="I65" s="12">
        <v>27603</v>
      </c>
      <c r="J65" s="4">
        <v>10.5</v>
      </c>
      <c r="K65" s="30">
        <v>2452</v>
      </c>
      <c r="L65" s="4">
        <v>62</v>
      </c>
      <c r="M65" s="5">
        <v>451785</v>
      </c>
      <c r="N65" s="4">
        <v>192.5</v>
      </c>
      <c r="O65" s="5">
        <v>419602</v>
      </c>
      <c r="P65" s="4">
        <v>163.9</v>
      </c>
      <c r="Q65" s="4">
        <v>782</v>
      </c>
      <c r="R65" s="4">
        <v>0.3</v>
      </c>
    </row>
    <row r="66" spans="2:18" ht="23" x14ac:dyDescent="0.25">
      <c r="B66" s="4">
        <v>1995</v>
      </c>
      <c r="C66" s="12">
        <v>69359</v>
      </c>
      <c r="D66" s="4">
        <v>26</v>
      </c>
      <c r="E66" s="12">
        <v>16543</v>
      </c>
      <c r="F66" s="4">
        <v>6.2</v>
      </c>
      <c r="G66" s="12">
        <v>26657</v>
      </c>
      <c r="H66" s="4">
        <v>10</v>
      </c>
      <c r="I66" s="12">
        <v>24296</v>
      </c>
      <c r="J66" s="4">
        <v>9.1</v>
      </c>
      <c r="K66" s="30">
        <v>1863</v>
      </c>
      <c r="L66" s="4">
        <v>47.8</v>
      </c>
      <c r="M66" s="5">
        <v>478577</v>
      </c>
      <c r="N66" s="4">
        <v>187.8</v>
      </c>
      <c r="O66" s="5">
        <v>392651</v>
      </c>
      <c r="P66" s="4">
        <v>147.5</v>
      </c>
      <c r="Q66" s="4">
        <v>607</v>
      </c>
      <c r="R66" s="4">
        <v>0.2</v>
      </c>
    </row>
    <row r="67" spans="2:18" ht="23" x14ac:dyDescent="0.25">
      <c r="B67" s="4">
        <v>1996</v>
      </c>
      <c r="C67" s="12">
        <v>53240</v>
      </c>
      <c r="D67" s="4">
        <v>19.8</v>
      </c>
      <c r="E67" s="12">
        <v>11405</v>
      </c>
      <c r="F67" s="4">
        <v>4.2</v>
      </c>
      <c r="G67" s="12">
        <v>20187</v>
      </c>
      <c r="H67" s="4">
        <v>7.5</v>
      </c>
      <c r="I67" s="12">
        <v>20366</v>
      </c>
      <c r="J67" s="4">
        <v>7.6</v>
      </c>
      <c r="K67" s="30">
        <v>1282</v>
      </c>
      <c r="L67" s="4">
        <v>32.9</v>
      </c>
      <c r="M67" s="5">
        <v>492631</v>
      </c>
      <c r="N67" s="4">
        <v>190.6</v>
      </c>
      <c r="O67" s="5">
        <v>328169</v>
      </c>
      <c r="P67" s="4">
        <v>121.8</v>
      </c>
      <c r="Q67" s="4">
        <v>386</v>
      </c>
      <c r="R67" s="4">
        <v>0.1</v>
      </c>
    </row>
    <row r="68" spans="2:18" ht="23" x14ac:dyDescent="0.25">
      <c r="B68" s="4">
        <v>1997</v>
      </c>
      <c r="C68" s="12">
        <v>46716</v>
      </c>
      <c r="D68" s="4">
        <v>17.100000000000001</v>
      </c>
      <c r="E68" s="12">
        <v>8556</v>
      </c>
      <c r="F68" s="4">
        <v>3.1</v>
      </c>
      <c r="G68" s="12">
        <v>16631</v>
      </c>
      <c r="H68" s="4">
        <v>6.1</v>
      </c>
      <c r="I68" s="12">
        <v>20447</v>
      </c>
      <c r="J68" s="4">
        <v>7.5</v>
      </c>
      <c r="K68" s="30">
        <v>1082</v>
      </c>
      <c r="L68" s="4">
        <v>27.9</v>
      </c>
      <c r="M68" s="5">
        <v>537904</v>
      </c>
      <c r="N68" s="4">
        <v>205.5</v>
      </c>
      <c r="O68" s="5">
        <v>327665</v>
      </c>
      <c r="P68" s="4">
        <v>120.2</v>
      </c>
      <c r="Q68" s="4">
        <v>246</v>
      </c>
      <c r="R68" s="4">
        <v>0.1</v>
      </c>
    </row>
    <row r="69" spans="2:18" ht="23" x14ac:dyDescent="0.25">
      <c r="B69" s="4">
        <v>1998</v>
      </c>
      <c r="C69" s="12">
        <v>38289</v>
      </c>
      <c r="D69" s="4">
        <v>13.9</v>
      </c>
      <c r="E69" s="12">
        <v>7007</v>
      </c>
      <c r="F69" s="4">
        <v>2.5</v>
      </c>
      <c r="G69" s="12">
        <v>12696</v>
      </c>
      <c r="H69" s="4">
        <v>4.5999999999999996</v>
      </c>
      <c r="I69" s="12">
        <v>17743</v>
      </c>
      <c r="J69" s="4">
        <v>6.4</v>
      </c>
      <c r="K69" s="32">
        <v>843</v>
      </c>
      <c r="L69" s="4">
        <v>21.4</v>
      </c>
      <c r="M69" s="5">
        <v>614250</v>
      </c>
      <c r="N69" s="4">
        <v>231.8</v>
      </c>
      <c r="O69" s="5">
        <v>356492</v>
      </c>
      <c r="P69" s="4">
        <v>129.19999999999999</v>
      </c>
      <c r="Q69" s="4">
        <v>189</v>
      </c>
      <c r="R69" s="4">
        <v>0.1</v>
      </c>
    </row>
    <row r="70" spans="2:18" ht="23" x14ac:dyDescent="0.25">
      <c r="B70" s="4">
        <v>1999</v>
      </c>
      <c r="C70" s="12">
        <v>35386</v>
      </c>
      <c r="D70" s="4">
        <v>12.7</v>
      </c>
      <c r="E70" s="12">
        <v>6617</v>
      </c>
      <c r="F70" s="4">
        <v>2.4</v>
      </c>
      <c r="G70" s="12">
        <v>11534</v>
      </c>
      <c r="H70" s="4">
        <v>4.0999999999999996</v>
      </c>
      <c r="I70" s="12">
        <v>16655</v>
      </c>
      <c r="J70" s="4">
        <v>6</v>
      </c>
      <c r="K70" s="32">
        <v>580</v>
      </c>
      <c r="L70" s="4">
        <v>14.6</v>
      </c>
      <c r="M70" s="5">
        <v>662647</v>
      </c>
      <c r="N70" s="4">
        <v>247.2</v>
      </c>
      <c r="O70" s="5">
        <v>360813</v>
      </c>
      <c r="P70" s="4">
        <v>129.30000000000001</v>
      </c>
      <c r="Q70" s="4">
        <v>110</v>
      </c>
      <c r="R70" s="4">
        <v>0</v>
      </c>
    </row>
    <row r="71" spans="2:18" ht="23" x14ac:dyDescent="0.25">
      <c r="B71" s="4">
        <v>2000</v>
      </c>
      <c r="C71" s="12">
        <v>31618</v>
      </c>
      <c r="D71" s="4">
        <v>11.2</v>
      </c>
      <c r="E71" s="12">
        <v>5979</v>
      </c>
      <c r="F71" s="4">
        <v>2.1</v>
      </c>
      <c r="G71" s="12">
        <v>9465</v>
      </c>
      <c r="H71" s="4">
        <v>3.4</v>
      </c>
      <c r="I71" s="12">
        <v>15594</v>
      </c>
      <c r="J71" s="4">
        <v>5.5</v>
      </c>
      <c r="K71" s="32">
        <v>580</v>
      </c>
      <c r="L71" s="4">
        <v>14.3</v>
      </c>
      <c r="M71" s="5">
        <v>709452</v>
      </c>
      <c r="N71" s="4">
        <v>251.4</v>
      </c>
      <c r="O71" s="5">
        <v>363136</v>
      </c>
      <c r="P71" s="4">
        <v>128.69999999999999</v>
      </c>
      <c r="Q71" s="4">
        <v>78</v>
      </c>
      <c r="R71" s="4">
        <v>0</v>
      </c>
    </row>
    <row r="72" spans="2:18" ht="23" x14ac:dyDescent="0.25">
      <c r="B72" s="4">
        <v>2001</v>
      </c>
      <c r="C72" s="12">
        <v>32286</v>
      </c>
      <c r="D72" s="4">
        <v>11.3</v>
      </c>
      <c r="E72" s="12">
        <v>6103</v>
      </c>
      <c r="F72" s="4">
        <v>2.1</v>
      </c>
      <c r="G72" s="12">
        <v>8701</v>
      </c>
      <c r="H72" s="4">
        <v>3</v>
      </c>
      <c r="I72" s="12">
        <v>16976</v>
      </c>
      <c r="J72" s="4">
        <v>5.9</v>
      </c>
      <c r="K72" s="32">
        <v>506</v>
      </c>
      <c r="L72" s="4">
        <v>12.6</v>
      </c>
      <c r="M72" s="5">
        <v>783242</v>
      </c>
      <c r="N72" s="4">
        <v>274.5</v>
      </c>
      <c r="O72" s="5">
        <v>361705</v>
      </c>
      <c r="P72" s="4">
        <v>126.8</v>
      </c>
      <c r="Q72" s="4">
        <v>38</v>
      </c>
      <c r="R72" s="4">
        <v>0</v>
      </c>
    </row>
    <row r="73" spans="2:18" ht="23" x14ac:dyDescent="0.25">
      <c r="B73" s="4">
        <v>2002</v>
      </c>
      <c r="C73" s="12">
        <v>32919</v>
      </c>
      <c r="D73" s="4">
        <v>11.4</v>
      </c>
      <c r="E73" s="12">
        <v>6862</v>
      </c>
      <c r="F73" s="4">
        <v>2.4</v>
      </c>
      <c r="G73" s="12">
        <v>8429</v>
      </c>
      <c r="H73" s="4">
        <v>2.9</v>
      </c>
      <c r="I73" s="12">
        <v>17168</v>
      </c>
      <c r="J73" s="4">
        <v>6</v>
      </c>
      <c r="K73" s="32">
        <v>460</v>
      </c>
      <c r="L73" s="4">
        <v>11.4</v>
      </c>
      <c r="M73" s="5">
        <v>834555</v>
      </c>
      <c r="N73" s="4">
        <v>289.39999999999998</v>
      </c>
      <c r="O73" s="5">
        <v>351852</v>
      </c>
      <c r="P73" s="4">
        <v>122</v>
      </c>
      <c r="Q73" s="4">
        <v>48</v>
      </c>
      <c r="R73" s="4">
        <v>0</v>
      </c>
    </row>
    <row r="74" spans="2:18" ht="23" x14ac:dyDescent="0.25">
      <c r="B74" s="4">
        <v>2003</v>
      </c>
      <c r="C74" s="12">
        <v>34289</v>
      </c>
      <c r="D74" s="4">
        <v>11.8</v>
      </c>
      <c r="E74" s="12">
        <v>7177</v>
      </c>
      <c r="F74" s="4">
        <v>2.5</v>
      </c>
      <c r="G74" s="12">
        <v>8361</v>
      </c>
      <c r="H74" s="4">
        <v>2.9</v>
      </c>
      <c r="I74" s="12">
        <v>18319</v>
      </c>
      <c r="J74" s="4">
        <v>6.3</v>
      </c>
      <c r="K74" s="32">
        <v>432</v>
      </c>
      <c r="L74" s="4">
        <v>10.6</v>
      </c>
      <c r="M74" s="5">
        <v>877478</v>
      </c>
      <c r="N74" s="4">
        <v>301.7</v>
      </c>
      <c r="O74" s="5">
        <v>335104</v>
      </c>
      <c r="P74" s="4">
        <v>115.2</v>
      </c>
      <c r="Q74" s="4">
        <v>54</v>
      </c>
      <c r="R74" s="4">
        <v>0</v>
      </c>
    </row>
    <row r="75" spans="2:18" ht="23" x14ac:dyDescent="0.25">
      <c r="B75" s="4">
        <v>2004</v>
      </c>
      <c r="C75" s="12">
        <v>33423</v>
      </c>
      <c r="D75" s="4">
        <v>11.4</v>
      </c>
      <c r="E75" s="12">
        <v>7980</v>
      </c>
      <c r="F75" s="4">
        <v>2.7</v>
      </c>
      <c r="G75" s="12">
        <v>7768</v>
      </c>
      <c r="H75" s="4">
        <v>2.6</v>
      </c>
      <c r="I75" s="12">
        <v>17300</v>
      </c>
      <c r="J75" s="4">
        <v>5.9</v>
      </c>
      <c r="K75" s="32">
        <v>375</v>
      </c>
      <c r="L75" s="4">
        <v>9.1</v>
      </c>
      <c r="M75" s="5">
        <v>929462</v>
      </c>
      <c r="N75" s="4">
        <v>316.5</v>
      </c>
      <c r="O75" s="5">
        <v>330132</v>
      </c>
      <c r="P75" s="4">
        <v>112.4</v>
      </c>
      <c r="Q75" s="4">
        <v>30</v>
      </c>
      <c r="R75" s="4">
        <v>0</v>
      </c>
    </row>
    <row r="76" spans="2:18" ht="23" x14ac:dyDescent="0.25">
      <c r="B76" s="4">
        <v>2005</v>
      </c>
      <c r="C76" s="12">
        <v>33288</v>
      </c>
      <c r="D76" s="4">
        <v>11.2</v>
      </c>
      <c r="E76" s="12">
        <v>8724</v>
      </c>
      <c r="F76" s="4">
        <v>2.9</v>
      </c>
      <c r="G76" s="12">
        <v>8176</v>
      </c>
      <c r="H76" s="4">
        <v>2.8</v>
      </c>
      <c r="I76" s="12">
        <v>16049</v>
      </c>
      <c r="J76" s="4">
        <v>5.4</v>
      </c>
      <c r="K76" s="32">
        <v>339</v>
      </c>
      <c r="L76" s="4">
        <v>8.1999999999999993</v>
      </c>
      <c r="M76" s="5">
        <v>976445</v>
      </c>
      <c r="N76" s="4">
        <v>329.4</v>
      </c>
      <c r="O76" s="5">
        <v>339593</v>
      </c>
      <c r="P76" s="4">
        <v>114.6</v>
      </c>
      <c r="Q76" s="4">
        <v>17</v>
      </c>
      <c r="R76" s="4">
        <v>0</v>
      </c>
    </row>
    <row r="77" spans="2:18" ht="23" x14ac:dyDescent="0.25">
      <c r="B77" s="4">
        <v>2006</v>
      </c>
      <c r="C77" s="12">
        <v>36958</v>
      </c>
      <c r="D77" s="4">
        <v>12.3</v>
      </c>
      <c r="E77" s="12">
        <v>9756</v>
      </c>
      <c r="F77" s="4">
        <v>3.3</v>
      </c>
      <c r="G77" s="12">
        <v>9186</v>
      </c>
      <c r="H77" s="4">
        <v>3.1</v>
      </c>
      <c r="I77" s="12">
        <v>17644</v>
      </c>
      <c r="J77" s="4">
        <v>5.9</v>
      </c>
      <c r="K77" s="32">
        <v>372</v>
      </c>
      <c r="L77" s="4">
        <v>8.6999999999999993</v>
      </c>
      <c r="M77" s="5">
        <v>1030911</v>
      </c>
      <c r="N77" s="4">
        <v>344.3</v>
      </c>
      <c r="O77" s="5">
        <v>358366</v>
      </c>
      <c r="P77" s="4">
        <v>119.7</v>
      </c>
      <c r="Q77" s="4">
        <v>19</v>
      </c>
      <c r="R77" s="4">
        <v>0</v>
      </c>
    </row>
    <row r="78" spans="2:18" ht="23" x14ac:dyDescent="0.25">
      <c r="B78" s="4">
        <v>2007</v>
      </c>
      <c r="C78" s="12">
        <v>40925</v>
      </c>
      <c r="D78" s="4">
        <v>13.6</v>
      </c>
      <c r="E78" s="12">
        <v>11466</v>
      </c>
      <c r="F78" s="4">
        <v>3.8</v>
      </c>
      <c r="G78" s="12">
        <v>10768</v>
      </c>
      <c r="H78" s="4">
        <v>3.6</v>
      </c>
      <c r="I78" s="12">
        <v>18256</v>
      </c>
      <c r="J78" s="4">
        <v>6.1</v>
      </c>
      <c r="K78" s="32">
        <v>435</v>
      </c>
      <c r="L78" s="4">
        <v>10.1</v>
      </c>
      <c r="M78" s="5">
        <v>1108374</v>
      </c>
      <c r="N78" s="4">
        <v>367.5</v>
      </c>
      <c r="O78" s="5">
        <v>355991</v>
      </c>
      <c r="P78" s="4">
        <v>118</v>
      </c>
      <c r="Q78" s="4">
        <v>23</v>
      </c>
      <c r="R78" s="4">
        <v>0</v>
      </c>
    </row>
    <row r="79" spans="2:18" ht="23" x14ac:dyDescent="0.25">
      <c r="B79" s="4">
        <v>2008</v>
      </c>
      <c r="C79" s="12">
        <v>46292</v>
      </c>
      <c r="D79" s="4">
        <v>15.2</v>
      </c>
      <c r="E79" s="12">
        <v>13500</v>
      </c>
      <c r="F79" s="4">
        <v>4.4000000000000004</v>
      </c>
      <c r="G79" s="12">
        <v>12401</v>
      </c>
      <c r="H79" s="4">
        <v>4.0999999999999996</v>
      </c>
      <c r="I79" s="12">
        <v>19945</v>
      </c>
      <c r="J79" s="4">
        <v>6.6</v>
      </c>
      <c r="K79" s="32">
        <v>446</v>
      </c>
      <c r="L79" s="4">
        <v>10.5</v>
      </c>
      <c r="M79" s="5">
        <v>1210523</v>
      </c>
      <c r="N79" s="4">
        <v>398.1</v>
      </c>
      <c r="O79" s="5">
        <v>336742</v>
      </c>
      <c r="P79" s="4">
        <v>110.7</v>
      </c>
      <c r="Q79" s="4">
        <v>25</v>
      </c>
      <c r="R79" s="4">
        <v>0</v>
      </c>
    </row>
    <row r="80" spans="2:18" ht="23" x14ac:dyDescent="0.25">
      <c r="B80" s="4">
        <v>2009</v>
      </c>
      <c r="C80" s="12">
        <v>44832</v>
      </c>
      <c r="D80" s="4">
        <v>14.6</v>
      </c>
      <c r="E80" s="12">
        <v>13997</v>
      </c>
      <c r="F80" s="4">
        <v>4.5999999999999996</v>
      </c>
      <c r="G80" s="12">
        <v>13066</v>
      </c>
      <c r="H80" s="4">
        <v>4.3</v>
      </c>
      <c r="I80" s="12">
        <v>17338</v>
      </c>
      <c r="J80" s="4">
        <v>5.6</v>
      </c>
      <c r="K80" s="32">
        <v>431</v>
      </c>
      <c r="L80" s="4">
        <v>10.4</v>
      </c>
      <c r="M80" s="5">
        <v>1244180</v>
      </c>
      <c r="N80" s="4">
        <v>405.3</v>
      </c>
      <c r="O80" s="5">
        <v>301174</v>
      </c>
      <c r="P80" s="4">
        <v>98.1</v>
      </c>
      <c r="Q80" s="4">
        <v>28</v>
      </c>
      <c r="R80" s="4">
        <v>0</v>
      </c>
    </row>
    <row r="81" spans="2:18" ht="23" x14ac:dyDescent="0.25">
      <c r="B81" s="4">
        <v>2010</v>
      </c>
      <c r="C81" s="12">
        <v>45844</v>
      </c>
      <c r="D81" s="4">
        <v>14.8</v>
      </c>
      <c r="E81" s="12">
        <v>13774</v>
      </c>
      <c r="F81" s="4">
        <v>4.5</v>
      </c>
      <c r="G81" s="12">
        <v>13604</v>
      </c>
      <c r="H81" s="4">
        <v>4.4000000000000004</v>
      </c>
      <c r="I81" s="12">
        <v>18079</v>
      </c>
      <c r="J81" s="4">
        <v>5.9</v>
      </c>
      <c r="K81" s="32">
        <v>387</v>
      </c>
      <c r="L81" s="4">
        <v>9.6999999999999993</v>
      </c>
      <c r="M81" s="5">
        <v>1307893</v>
      </c>
      <c r="N81" s="4">
        <v>423.6</v>
      </c>
      <c r="O81" s="5">
        <v>309341</v>
      </c>
      <c r="P81" s="4">
        <v>100.2</v>
      </c>
      <c r="Q81" s="4">
        <v>24</v>
      </c>
      <c r="R81" s="4">
        <v>0</v>
      </c>
    </row>
    <row r="82" spans="2:18" ht="23" x14ac:dyDescent="0.25">
      <c r="B82" s="4">
        <v>2011</v>
      </c>
      <c r="C82" s="12">
        <v>46040</v>
      </c>
      <c r="D82" s="4">
        <v>14.8</v>
      </c>
      <c r="E82" s="12">
        <v>13970</v>
      </c>
      <c r="F82" s="4">
        <v>4.5</v>
      </c>
      <c r="G82" s="12">
        <v>13136</v>
      </c>
      <c r="H82" s="4">
        <v>4.2</v>
      </c>
      <c r="I82" s="12">
        <v>18576</v>
      </c>
      <c r="J82" s="4">
        <v>6</v>
      </c>
      <c r="K82" s="32">
        <v>358</v>
      </c>
      <c r="L82" s="4">
        <v>9.1</v>
      </c>
      <c r="M82" s="5">
        <v>1412791</v>
      </c>
      <c r="N82" s="4">
        <v>453.4</v>
      </c>
      <c r="O82" s="5">
        <v>321849</v>
      </c>
      <c r="P82" s="4">
        <v>103.3</v>
      </c>
      <c r="Q82" s="4">
        <v>8</v>
      </c>
      <c r="R82" s="4">
        <v>0</v>
      </c>
    </row>
    <row r="83" spans="2:18" ht="23" x14ac:dyDescent="0.25">
      <c r="B83" s="4">
        <v>2012</v>
      </c>
      <c r="C83" s="12">
        <v>49915</v>
      </c>
      <c r="D83" s="4">
        <v>15.9</v>
      </c>
      <c r="E83" s="12">
        <v>15667</v>
      </c>
      <c r="F83" s="4">
        <v>5</v>
      </c>
      <c r="G83" s="12">
        <v>14503</v>
      </c>
      <c r="H83" s="4">
        <v>4.5999999999999996</v>
      </c>
      <c r="I83" s="12">
        <v>19411</v>
      </c>
      <c r="J83" s="4">
        <v>6.2</v>
      </c>
      <c r="K83" s="32">
        <v>334</v>
      </c>
      <c r="L83" s="4">
        <v>8.4</v>
      </c>
      <c r="M83" s="5">
        <v>1422976</v>
      </c>
      <c r="N83" s="4">
        <v>453.3</v>
      </c>
      <c r="O83" s="5">
        <v>334826</v>
      </c>
      <c r="P83" s="4">
        <v>106.7</v>
      </c>
      <c r="Q83" s="4">
        <v>15</v>
      </c>
      <c r="R83" s="4">
        <v>0</v>
      </c>
    </row>
    <row r="84" spans="2:18" ht="23" x14ac:dyDescent="0.25">
      <c r="B84" s="4">
        <v>2013</v>
      </c>
      <c r="C84" s="12">
        <v>56485</v>
      </c>
      <c r="D84" s="4">
        <v>17.899999999999999</v>
      </c>
      <c r="E84" s="12">
        <v>17375</v>
      </c>
      <c r="F84" s="4">
        <v>5.5</v>
      </c>
      <c r="G84" s="12">
        <v>16929</v>
      </c>
      <c r="H84" s="4">
        <v>5.4</v>
      </c>
      <c r="I84" s="12">
        <v>21819</v>
      </c>
      <c r="J84" s="4">
        <v>6.9</v>
      </c>
      <c r="K84" s="32">
        <v>362</v>
      </c>
      <c r="L84" s="4">
        <v>9.1999999999999993</v>
      </c>
      <c r="M84" s="5">
        <v>1401906</v>
      </c>
      <c r="N84" s="4">
        <v>443.5</v>
      </c>
      <c r="O84" s="5">
        <v>333004</v>
      </c>
      <c r="P84" s="4">
        <v>105.3</v>
      </c>
      <c r="Q84" s="4">
        <v>10</v>
      </c>
      <c r="R84" s="4">
        <v>0</v>
      </c>
    </row>
    <row r="85" spans="2:18" ht="23" x14ac:dyDescent="0.25">
      <c r="B85" s="4">
        <v>2014</v>
      </c>
      <c r="C85" s="12">
        <v>63454</v>
      </c>
      <c r="D85" s="4">
        <v>19.899999999999999</v>
      </c>
      <c r="E85" s="12">
        <v>19999</v>
      </c>
      <c r="F85" s="4">
        <v>6.3</v>
      </c>
      <c r="G85" s="12">
        <v>19452</v>
      </c>
      <c r="H85" s="4">
        <v>6.1</v>
      </c>
      <c r="I85" s="12">
        <v>23541</v>
      </c>
      <c r="J85" s="4">
        <v>7.4</v>
      </c>
      <c r="K85" s="32">
        <v>462</v>
      </c>
      <c r="L85" s="4">
        <v>11.6</v>
      </c>
      <c r="M85" s="5">
        <v>1441789</v>
      </c>
      <c r="N85" s="4">
        <v>452.2</v>
      </c>
      <c r="O85" s="5">
        <v>350062</v>
      </c>
      <c r="P85" s="4">
        <v>109.8</v>
      </c>
      <c r="Q85" s="4">
        <v>6</v>
      </c>
      <c r="R85" s="4">
        <v>0</v>
      </c>
    </row>
    <row r="86" spans="2:18" ht="23" x14ac:dyDescent="0.25">
      <c r="B86" s="4">
        <v>2015</v>
      </c>
      <c r="C86" s="12">
        <v>74709</v>
      </c>
      <c r="D86" s="4">
        <v>23.2</v>
      </c>
      <c r="E86" s="12">
        <v>23872</v>
      </c>
      <c r="F86" s="4">
        <v>7.4</v>
      </c>
      <c r="G86" s="12">
        <v>24173</v>
      </c>
      <c r="H86" s="4">
        <v>7.5</v>
      </c>
      <c r="I86" s="12">
        <v>26170</v>
      </c>
      <c r="J86" s="4">
        <v>8.1</v>
      </c>
      <c r="K86" s="32">
        <v>494</v>
      </c>
      <c r="L86" s="4">
        <v>12.4</v>
      </c>
      <c r="M86" s="5">
        <v>1526658</v>
      </c>
      <c r="N86" s="4">
        <v>475</v>
      </c>
      <c r="O86" s="5">
        <v>395216</v>
      </c>
      <c r="P86" s="4">
        <v>123</v>
      </c>
      <c r="Q86" s="4">
        <v>11</v>
      </c>
      <c r="R86" s="4">
        <v>0</v>
      </c>
    </row>
    <row r="87" spans="2:18" ht="23" x14ac:dyDescent="0.25">
      <c r="B87" s="4">
        <v>2016</v>
      </c>
      <c r="C87" s="12">
        <v>88055</v>
      </c>
      <c r="D87" s="4">
        <v>27.3</v>
      </c>
      <c r="E87" s="12">
        <v>27814</v>
      </c>
      <c r="F87" s="4">
        <v>8.6</v>
      </c>
      <c r="G87" s="12">
        <v>28924</v>
      </c>
      <c r="H87" s="4">
        <v>9</v>
      </c>
      <c r="I87" s="12">
        <v>30676</v>
      </c>
      <c r="J87" s="4">
        <v>9.5</v>
      </c>
      <c r="K87" s="32">
        <v>641</v>
      </c>
      <c r="L87" s="4">
        <v>16.2</v>
      </c>
      <c r="M87" s="5">
        <v>1598354</v>
      </c>
      <c r="N87" s="4">
        <v>494.7</v>
      </c>
      <c r="O87" s="5">
        <v>468514</v>
      </c>
      <c r="P87" s="4">
        <v>145</v>
      </c>
      <c r="Q87" s="4">
        <v>7</v>
      </c>
      <c r="R87" s="4">
        <v>0</v>
      </c>
    </row>
    <row r="88" spans="2:18" ht="23" x14ac:dyDescent="0.25">
      <c r="B88" s="4">
        <v>2017</v>
      </c>
      <c r="C88" s="12">
        <v>101591</v>
      </c>
      <c r="D88" s="4">
        <v>31.2</v>
      </c>
      <c r="E88" s="12">
        <v>30644</v>
      </c>
      <c r="F88" s="4">
        <v>9.4</v>
      </c>
      <c r="G88" s="12">
        <v>34013</v>
      </c>
      <c r="H88" s="4">
        <v>10.4</v>
      </c>
      <c r="I88" s="12">
        <v>35992</v>
      </c>
      <c r="J88" s="4">
        <v>11.1</v>
      </c>
      <c r="K88" s="32">
        <v>942</v>
      </c>
      <c r="L88" s="4">
        <v>24.4</v>
      </c>
      <c r="M88" s="5">
        <v>1708569</v>
      </c>
      <c r="N88" s="4">
        <v>524.6</v>
      </c>
      <c r="O88" s="5">
        <v>555608</v>
      </c>
      <c r="P88" s="4">
        <v>170.6</v>
      </c>
      <c r="Q88" s="4">
        <v>7</v>
      </c>
      <c r="R88" s="4">
        <v>0</v>
      </c>
    </row>
    <row r="89" spans="2:18" ht="23" x14ac:dyDescent="0.25">
      <c r="B89" s="4">
        <v>2018</v>
      </c>
      <c r="C89" s="12">
        <v>115064</v>
      </c>
      <c r="D89" s="4">
        <v>35.200000000000003</v>
      </c>
      <c r="E89" s="12">
        <v>35063</v>
      </c>
      <c r="F89" s="4">
        <v>10.7</v>
      </c>
      <c r="G89" s="12">
        <v>38539</v>
      </c>
      <c r="H89" s="4">
        <v>11.8</v>
      </c>
      <c r="I89" s="12">
        <v>40137</v>
      </c>
      <c r="J89" s="4">
        <v>12.3</v>
      </c>
      <c r="K89" s="30">
        <v>1325</v>
      </c>
      <c r="L89" s="4">
        <v>34.9</v>
      </c>
      <c r="M89" s="5">
        <v>1758668</v>
      </c>
      <c r="N89" s="4">
        <v>537.5</v>
      </c>
      <c r="O89" s="5">
        <v>583405</v>
      </c>
      <c r="P89" s="4">
        <v>178.3</v>
      </c>
      <c r="Q89" s="4">
        <v>3</v>
      </c>
      <c r="R89" s="4">
        <v>0</v>
      </c>
    </row>
    <row r="90" spans="2:18" ht="23" x14ac:dyDescent="0.25">
      <c r="B90" s="4">
        <v>2019</v>
      </c>
      <c r="C90" s="12">
        <v>129825</v>
      </c>
      <c r="D90" s="4">
        <v>39.6</v>
      </c>
      <c r="E90" s="12">
        <v>38992</v>
      </c>
      <c r="F90" s="4">
        <v>11.9</v>
      </c>
      <c r="G90" s="12">
        <v>41655</v>
      </c>
      <c r="H90" s="4">
        <v>12.7</v>
      </c>
      <c r="I90" s="12">
        <v>47296</v>
      </c>
      <c r="J90" s="4">
        <v>14.4</v>
      </c>
      <c r="K90" s="30">
        <v>1882</v>
      </c>
      <c r="L90" s="4">
        <v>50.2</v>
      </c>
      <c r="M90" s="5">
        <v>1808703</v>
      </c>
      <c r="N90" s="4">
        <v>551</v>
      </c>
      <c r="O90" s="5">
        <v>616392</v>
      </c>
      <c r="P90" s="4">
        <v>187.8</v>
      </c>
      <c r="Q90" s="4">
        <v>8</v>
      </c>
      <c r="R90" s="4">
        <v>0</v>
      </c>
    </row>
    <row r="91" spans="2:18" ht="23" x14ac:dyDescent="0.25">
      <c r="B91" s="4">
        <v>2020</v>
      </c>
      <c r="C91" s="12">
        <v>133959</v>
      </c>
      <c r="D91" s="4">
        <v>40.4</v>
      </c>
      <c r="E91" s="12">
        <v>41655</v>
      </c>
      <c r="F91" s="4">
        <v>12.6</v>
      </c>
      <c r="G91" s="12">
        <v>43145</v>
      </c>
      <c r="H91" s="4">
        <v>13</v>
      </c>
      <c r="I91" s="12">
        <v>46997</v>
      </c>
      <c r="J91" s="4">
        <v>14.2</v>
      </c>
      <c r="K91" s="30">
        <v>2162</v>
      </c>
      <c r="L91" s="4">
        <v>59.8</v>
      </c>
      <c r="M91" s="5">
        <v>1579885</v>
      </c>
      <c r="N91" s="4">
        <v>476.7</v>
      </c>
      <c r="O91" s="5">
        <v>677769</v>
      </c>
      <c r="P91" s="4">
        <v>204.5</v>
      </c>
      <c r="Q91" s="4">
        <v>0</v>
      </c>
      <c r="R91" s="4">
        <v>0</v>
      </c>
    </row>
    <row r="92" spans="2:18" ht="23" x14ac:dyDescent="0.25">
      <c r="B92" s="4">
        <v>2021</v>
      </c>
      <c r="C92" s="12">
        <v>176733</v>
      </c>
      <c r="D92" s="4">
        <v>53.2</v>
      </c>
      <c r="E92" s="12">
        <v>53767</v>
      </c>
      <c r="F92" s="4">
        <v>16.2</v>
      </c>
      <c r="G92" s="12">
        <v>51830</v>
      </c>
      <c r="H92" s="4">
        <v>15.6</v>
      </c>
      <c r="I92" s="12">
        <v>68261</v>
      </c>
      <c r="J92" s="4">
        <v>20.6</v>
      </c>
      <c r="K92" s="30">
        <v>2875</v>
      </c>
      <c r="L92" s="4">
        <v>78.5</v>
      </c>
      <c r="M92" s="5">
        <v>1644416</v>
      </c>
      <c r="N92" s="4">
        <v>495.5</v>
      </c>
      <c r="O92" s="5">
        <v>710151</v>
      </c>
      <c r="P92" s="4">
        <v>214</v>
      </c>
      <c r="Q92" s="4">
        <v>3</v>
      </c>
      <c r="R92" s="4">
        <v>0</v>
      </c>
    </row>
    <row r="93" spans="2:18" ht="23" x14ac:dyDescent="0.25">
      <c r="B93" s="8">
        <v>2022</v>
      </c>
      <c r="C93" s="13">
        <v>207269</v>
      </c>
      <c r="D93" s="8">
        <v>62.2</v>
      </c>
      <c r="E93" s="13">
        <v>3769</v>
      </c>
      <c r="F93" s="8">
        <v>102.8</v>
      </c>
      <c r="G93" s="13">
        <v>59016</v>
      </c>
      <c r="H93" s="8">
        <v>17.7</v>
      </c>
      <c r="I93" s="13">
        <v>56913</v>
      </c>
      <c r="J93" s="8">
        <v>17.100000000000001</v>
      </c>
      <c r="K93" s="34">
        <v>87571</v>
      </c>
      <c r="L93" s="8">
        <v>26.3</v>
      </c>
      <c r="M93" s="9">
        <v>648056</v>
      </c>
      <c r="N93" s="8">
        <v>194.4</v>
      </c>
      <c r="O93" s="9">
        <v>1649716</v>
      </c>
      <c r="P93" s="8">
        <v>495</v>
      </c>
      <c r="Q93" s="8">
        <v>1</v>
      </c>
      <c r="R93" s="8">
        <v>0</v>
      </c>
    </row>
    <row r="94" spans="2:18" ht="23" x14ac:dyDescent="0.25">
      <c r="B94" s="8">
        <v>2023</v>
      </c>
      <c r="C94" s="13">
        <v>209253</v>
      </c>
      <c r="D94" s="8">
        <v>62.5</v>
      </c>
      <c r="E94" s="13">
        <v>3882</v>
      </c>
      <c r="F94" s="8">
        <v>105.8</v>
      </c>
      <c r="G94" s="13">
        <v>53007</v>
      </c>
      <c r="H94" s="8">
        <v>15.8</v>
      </c>
      <c r="I94" s="13">
        <v>53573</v>
      </c>
      <c r="J94" s="8">
        <v>16</v>
      </c>
      <c r="K94" s="34">
        <v>98791</v>
      </c>
      <c r="L94" s="8">
        <v>29.5</v>
      </c>
      <c r="M94" s="9">
        <v>601319</v>
      </c>
      <c r="N94" s="8">
        <v>179.5</v>
      </c>
      <c r="O94" s="9">
        <v>1648568</v>
      </c>
      <c r="P94" s="8">
        <v>492.2</v>
      </c>
      <c r="Q94" s="8">
        <v>4</v>
      </c>
      <c r="R94" s="8">
        <v>0</v>
      </c>
    </row>
    <row r="95" spans="2:18" x14ac:dyDescent="0.2">
      <c r="L95" s="2">
        <f>100000/L94</f>
        <v>3389.8305084745762</v>
      </c>
    </row>
  </sheetData>
  <mergeCells count="11">
    <mergeCell ref="A1:G1"/>
    <mergeCell ref="B3:F3"/>
    <mergeCell ref="Q10:R10"/>
    <mergeCell ref="B2:F2"/>
    <mergeCell ref="C10:D10"/>
    <mergeCell ref="E10:F10"/>
    <mergeCell ref="G10:H10"/>
    <mergeCell ref="I10:J10"/>
    <mergeCell ref="K10:L10"/>
    <mergeCell ref="M10:N10"/>
    <mergeCell ref="O10:P10"/>
  </mergeCells>
  <hyperlinks>
    <hyperlink ref="B2" r:id="rId1" xr:uid="{3E8EFDE4-ED00-7340-9C3E-7342F29343C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8F4-1F22-2B4B-A293-86DEC2651382}">
  <dimension ref="B1:AE95"/>
  <sheetViews>
    <sheetView topLeftCell="A22" zoomScale="50" zoomScaleNormal="47" workbookViewId="0">
      <selection activeCell="E41" sqref="E41:M41"/>
    </sheetView>
  </sheetViews>
  <sheetFormatPr baseColWidth="10" defaultRowHeight="16" x14ac:dyDescent="0.2"/>
  <cols>
    <col min="1" max="2" width="10.83203125" style="2"/>
    <col min="3" max="3" width="11.1640625" style="2" bestFit="1" customWidth="1"/>
    <col min="4" max="4" width="16.33203125" style="2" customWidth="1"/>
    <col min="5" max="5" width="21.6640625" style="10" customWidth="1"/>
    <col min="6" max="6" width="15.6640625" style="36" customWidth="1"/>
    <col min="7" max="7" width="21.6640625" style="10" customWidth="1"/>
    <col min="8" max="8" width="10.33203125" style="2" bestFit="1" customWidth="1"/>
    <col min="9" max="9" width="21.6640625" style="10" customWidth="1"/>
    <col min="10" max="10" width="10.1640625" style="2" bestFit="1" customWidth="1"/>
    <col min="11" max="11" width="22.5" style="10" customWidth="1"/>
    <col min="12" max="12" width="10.33203125" style="2" bestFit="1" customWidth="1"/>
    <col min="13" max="13" width="11.1640625" style="2" bestFit="1" customWidth="1"/>
    <col min="14" max="14" width="10" style="2" bestFit="1" customWidth="1"/>
    <col min="15" max="15" width="14.83203125" style="2" bestFit="1" customWidth="1"/>
    <col min="16" max="18" width="14.83203125" style="2" customWidth="1"/>
    <col min="19" max="19" width="10" style="2" bestFit="1" customWidth="1"/>
    <col min="20" max="20" width="14.83203125" style="2" bestFit="1" customWidth="1"/>
    <col min="21" max="21" width="10" style="2" bestFit="1" customWidth="1"/>
    <col min="22" max="22" width="10.33203125" style="2" bestFit="1" customWidth="1"/>
    <col min="23" max="23" width="8" style="2" bestFit="1" customWidth="1"/>
    <col min="24" max="24" width="7.33203125" style="2" customWidth="1"/>
    <col min="25" max="16384" width="10.83203125" style="2"/>
  </cols>
  <sheetData>
    <row r="1" spans="3:23" ht="23" x14ac:dyDescent="0.25">
      <c r="C1" s="42" t="s">
        <v>15</v>
      </c>
      <c r="D1" s="42"/>
      <c r="E1" s="42"/>
      <c r="F1" s="42"/>
      <c r="G1" s="42"/>
      <c r="H1" s="42"/>
      <c r="I1" s="42"/>
    </row>
    <row r="2" spans="3:23" ht="23" x14ac:dyDescent="0.25">
      <c r="D2" s="46" t="s">
        <v>14</v>
      </c>
      <c r="E2" s="45"/>
      <c r="F2" s="45"/>
      <c r="G2" s="45"/>
      <c r="H2" s="45"/>
      <c r="U2" s="1"/>
    </row>
    <row r="3" spans="3:23" ht="23" x14ac:dyDescent="0.25">
      <c r="D3" s="42" t="s">
        <v>16</v>
      </c>
      <c r="E3" s="42"/>
      <c r="F3" s="42"/>
      <c r="G3" s="42"/>
      <c r="H3" s="42"/>
      <c r="J3" s="1"/>
      <c r="N3" s="1"/>
    </row>
    <row r="4" spans="3:23" ht="32" x14ac:dyDescent="0.4">
      <c r="D4" s="3" t="s">
        <v>18</v>
      </c>
      <c r="H4" s="1"/>
      <c r="J4" s="1"/>
      <c r="N4" s="1"/>
    </row>
    <row r="5" spans="3:23" ht="23" x14ac:dyDescent="0.25">
      <c r="D5" s="1"/>
      <c r="H5" s="1"/>
      <c r="J5" s="1"/>
      <c r="N5" s="1"/>
    </row>
    <row r="6" spans="3:23" ht="23" x14ac:dyDescent="0.25">
      <c r="D6" s="1"/>
      <c r="H6" s="1"/>
      <c r="J6" s="1"/>
      <c r="N6" s="1"/>
    </row>
    <row r="7" spans="3:23" ht="23" x14ac:dyDescent="0.25">
      <c r="D7" s="1"/>
      <c r="H7" s="1"/>
      <c r="J7" s="1"/>
      <c r="N7" s="1"/>
    </row>
    <row r="8" spans="3:23" ht="23" x14ac:dyDescent="0.25">
      <c r="D8" s="1" t="s">
        <v>17</v>
      </c>
      <c r="H8" s="1"/>
      <c r="J8" s="1"/>
      <c r="N8" s="1"/>
    </row>
    <row r="9" spans="3:23" ht="23" x14ac:dyDescent="0.25">
      <c r="D9" s="1"/>
      <c r="H9" s="1"/>
      <c r="J9" s="1"/>
      <c r="N9" s="1"/>
    </row>
    <row r="10" spans="3:23" s="24" customFormat="1" ht="89" customHeight="1" x14ac:dyDescent="0.3">
      <c r="C10" s="37"/>
      <c r="D10" s="25"/>
      <c r="E10" s="43" t="s">
        <v>1</v>
      </c>
      <c r="F10" s="43"/>
      <c r="G10" s="43" t="s">
        <v>8</v>
      </c>
      <c r="H10" s="43"/>
      <c r="I10" s="43" t="s">
        <v>9</v>
      </c>
      <c r="J10" s="43"/>
      <c r="K10" s="43" t="s">
        <v>10</v>
      </c>
      <c r="L10" s="43"/>
      <c r="M10" s="43" t="s">
        <v>2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</row>
    <row r="11" spans="3:23" ht="25" customHeight="1" x14ac:dyDescent="0.3">
      <c r="C11" s="7"/>
      <c r="D11" s="1" t="s">
        <v>13</v>
      </c>
      <c r="E11" s="11" t="s">
        <v>3</v>
      </c>
      <c r="F11" s="39" t="s">
        <v>26</v>
      </c>
      <c r="G11" s="11" t="s">
        <v>3</v>
      </c>
      <c r="H11" s="39" t="s">
        <v>26</v>
      </c>
      <c r="I11" s="11" t="s">
        <v>3</v>
      </c>
      <c r="J11" s="39" t="s">
        <v>26</v>
      </c>
      <c r="K11" s="11" t="s">
        <v>3</v>
      </c>
      <c r="L11" s="39" t="s">
        <v>26</v>
      </c>
      <c r="M11" s="29" t="s">
        <v>3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3:23" ht="25" customHeight="1" x14ac:dyDescent="0.3">
      <c r="C12" s="7"/>
      <c r="D12" s="4">
        <v>1941</v>
      </c>
      <c r="E12" s="12">
        <v>485560</v>
      </c>
      <c r="F12" s="40"/>
      <c r="G12" s="12">
        <v>68231</v>
      </c>
      <c r="H12" s="40"/>
      <c r="I12" s="12">
        <v>109018</v>
      </c>
      <c r="J12" s="40"/>
      <c r="K12" s="12">
        <v>202984</v>
      </c>
      <c r="L12" s="40"/>
      <c r="M12" s="30">
        <v>17600</v>
      </c>
      <c r="N12" s="4"/>
      <c r="O12" s="4"/>
      <c r="P12" s="4"/>
      <c r="Q12" s="4"/>
      <c r="R12" s="4"/>
      <c r="S12" s="4"/>
      <c r="T12" s="5"/>
      <c r="U12" s="4"/>
      <c r="V12" s="5"/>
      <c r="W12" s="4"/>
    </row>
    <row r="13" spans="3:23" ht="25" customHeight="1" x14ac:dyDescent="0.3">
      <c r="C13" s="7"/>
      <c r="D13" s="4">
        <v>1942</v>
      </c>
      <c r="E13" s="12">
        <v>479601</v>
      </c>
      <c r="F13" s="40"/>
      <c r="G13" s="12">
        <v>75312</v>
      </c>
      <c r="H13" s="40"/>
      <c r="I13" s="12">
        <v>116245</v>
      </c>
      <c r="J13" s="40"/>
      <c r="K13" s="12">
        <v>202064</v>
      </c>
      <c r="L13" s="40"/>
      <c r="M13" s="30">
        <v>16918</v>
      </c>
      <c r="N13" s="4"/>
      <c r="O13" s="4"/>
      <c r="P13" s="4"/>
      <c r="Q13" s="4"/>
      <c r="R13" s="4"/>
      <c r="S13" s="4"/>
      <c r="T13" s="5"/>
      <c r="U13" s="4"/>
      <c r="V13" s="5"/>
      <c r="W13" s="4"/>
    </row>
    <row r="14" spans="3:23" ht="25" customHeight="1" x14ac:dyDescent="0.3">
      <c r="C14" s="7"/>
      <c r="D14" s="4">
        <v>1943</v>
      </c>
      <c r="E14" s="12">
        <v>575593</v>
      </c>
      <c r="F14" s="40"/>
      <c r="G14" s="12">
        <v>82204</v>
      </c>
      <c r="H14" s="40"/>
      <c r="I14" s="12">
        <v>149390</v>
      </c>
      <c r="J14" s="40"/>
      <c r="K14" s="12">
        <v>251958</v>
      </c>
      <c r="L14" s="40"/>
      <c r="M14" s="30">
        <v>16164</v>
      </c>
      <c r="N14" s="4"/>
      <c r="O14" s="4"/>
      <c r="P14" s="4"/>
      <c r="Q14" s="4"/>
      <c r="R14" s="4"/>
      <c r="S14" s="4"/>
      <c r="T14" s="5"/>
      <c r="U14" s="4"/>
      <c r="V14" s="5"/>
      <c r="W14" s="4"/>
    </row>
    <row r="15" spans="3:23" ht="25" customHeight="1" x14ac:dyDescent="0.3">
      <c r="C15" s="7"/>
      <c r="D15" s="4">
        <v>1944</v>
      </c>
      <c r="E15" s="12">
        <v>467755</v>
      </c>
      <c r="F15" s="40"/>
      <c r="G15" s="12">
        <v>78443</v>
      </c>
      <c r="H15" s="40"/>
      <c r="I15" s="12">
        <v>123038</v>
      </c>
      <c r="J15" s="40"/>
      <c r="K15" s="12">
        <v>202848</v>
      </c>
      <c r="L15" s="40"/>
      <c r="M15" s="30">
        <v>13578</v>
      </c>
      <c r="N15" s="4"/>
      <c r="O15" s="4"/>
      <c r="P15" s="4"/>
      <c r="Q15" s="4"/>
      <c r="R15" s="4"/>
      <c r="S15" s="4"/>
      <c r="T15" s="5"/>
      <c r="U15" s="4"/>
      <c r="V15" s="5"/>
      <c r="W15" s="4"/>
    </row>
    <row r="16" spans="3:23" ht="25" customHeight="1" x14ac:dyDescent="0.3">
      <c r="C16" s="7"/>
      <c r="D16" s="4">
        <v>1945</v>
      </c>
      <c r="E16" s="12">
        <v>359114</v>
      </c>
      <c r="F16" s="40"/>
      <c r="G16" s="12">
        <v>77007</v>
      </c>
      <c r="H16" s="40"/>
      <c r="I16" s="12">
        <v>101719</v>
      </c>
      <c r="J16" s="40"/>
      <c r="K16" s="12">
        <v>142187</v>
      </c>
      <c r="L16" s="40"/>
      <c r="M16" s="30">
        <v>12339</v>
      </c>
      <c r="N16" s="4"/>
      <c r="O16" s="4"/>
      <c r="P16" s="4"/>
      <c r="Q16" s="4"/>
      <c r="R16" s="4"/>
      <c r="S16" s="4"/>
      <c r="T16" s="5"/>
      <c r="U16" s="4"/>
      <c r="V16" s="5"/>
      <c r="W16" s="4"/>
    </row>
    <row r="17" spans="3:23" ht="25" customHeight="1" x14ac:dyDescent="0.3">
      <c r="C17" s="7"/>
      <c r="D17" s="4">
        <v>1946</v>
      </c>
      <c r="E17" s="12">
        <v>363647</v>
      </c>
      <c r="F17" s="40"/>
      <c r="G17" s="12">
        <v>94957</v>
      </c>
      <c r="H17" s="40"/>
      <c r="I17" s="12">
        <v>107924</v>
      </c>
      <c r="J17" s="40"/>
      <c r="K17" s="12">
        <v>125248</v>
      </c>
      <c r="L17" s="40"/>
      <c r="M17" s="30">
        <v>12106</v>
      </c>
      <c r="N17" s="4"/>
      <c r="O17" s="4"/>
      <c r="P17" s="4"/>
      <c r="Q17" s="4"/>
      <c r="R17" s="4"/>
      <c r="S17" s="4"/>
      <c r="T17" s="5"/>
      <c r="U17" s="4"/>
      <c r="V17" s="5"/>
      <c r="W17" s="4"/>
    </row>
    <row r="18" spans="3:23" ht="25" customHeight="1" x14ac:dyDescent="0.3">
      <c r="C18" s="7"/>
      <c r="D18" s="4">
        <v>1947</v>
      </c>
      <c r="E18" s="12">
        <v>355592</v>
      </c>
      <c r="F18" s="40"/>
      <c r="G18" s="12">
        <v>93545</v>
      </c>
      <c r="H18" s="40"/>
      <c r="I18" s="12">
        <v>104124</v>
      </c>
      <c r="J18" s="40"/>
      <c r="K18" s="12">
        <v>122089</v>
      </c>
      <c r="L18" s="40"/>
      <c r="M18" s="30">
        <v>12200</v>
      </c>
      <c r="N18" s="4"/>
      <c r="O18" s="4"/>
      <c r="P18" s="4"/>
      <c r="Q18" s="4"/>
      <c r="R18" s="4"/>
      <c r="S18" s="4"/>
      <c r="T18" s="5"/>
      <c r="U18" s="4"/>
      <c r="V18" s="5"/>
      <c r="W18" s="4"/>
    </row>
    <row r="19" spans="3:23" ht="25" customHeight="1" x14ac:dyDescent="0.3">
      <c r="C19" s="7"/>
      <c r="D19" s="4">
        <v>1948</v>
      </c>
      <c r="E19" s="12">
        <v>314313</v>
      </c>
      <c r="F19" s="40"/>
      <c r="G19" s="12">
        <v>68174</v>
      </c>
      <c r="H19" s="40"/>
      <c r="I19" s="12">
        <v>90598</v>
      </c>
      <c r="J19" s="40"/>
      <c r="K19" s="12">
        <v>123312</v>
      </c>
      <c r="L19" s="40"/>
      <c r="M19" s="30">
        <v>13931</v>
      </c>
      <c r="N19" s="4"/>
      <c r="O19" s="4"/>
      <c r="P19" s="4"/>
      <c r="Q19" s="4"/>
      <c r="R19" s="4"/>
      <c r="S19" s="4"/>
      <c r="T19" s="5"/>
      <c r="U19" s="4"/>
      <c r="V19" s="5"/>
      <c r="W19" s="4"/>
    </row>
    <row r="20" spans="3:23" ht="25" customHeight="1" x14ac:dyDescent="0.3">
      <c r="C20" s="7"/>
      <c r="D20" s="4">
        <v>1949</v>
      </c>
      <c r="E20" s="12">
        <v>256463</v>
      </c>
      <c r="F20" s="40"/>
      <c r="G20" s="12">
        <v>41942</v>
      </c>
      <c r="H20" s="40"/>
      <c r="I20" s="12">
        <v>75045</v>
      </c>
      <c r="J20" s="40"/>
      <c r="K20" s="12">
        <v>116397</v>
      </c>
      <c r="L20" s="40"/>
      <c r="M20" s="30">
        <v>13952</v>
      </c>
      <c r="N20" s="4"/>
      <c r="O20" s="4"/>
      <c r="P20" s="4"/>
      <c r="Q20" s="4"/>
      <c r="R20" s="4"/>
      <c r="S20" s="4"/>
      <c r="T20" s="5"/>
      <c r="U20" s="4"/>
      <c r="V20" s="5"/>
      <c r="W20" s="4"/>
    </row>
    <row r="21" spans="3:23" ht="25" customHeight="1" x14ac:dyDescent="0.3">
      <c r="C21" s="7"/>
      <c r="D21" s="4">
        <v>1950</v>
      </c>
      <c r="E21" s="12">
        <v>217558</v>
      </c>
      <c r="F21" s="40"/>
      <c r="G21" s="12">
        <v>23939</v>
      </c>
      <c r="H21" s="40"/>
      <c r="I21" s="12">
        <v>59256</v>
      </c>
      <c r="J21" s="40"/>
      <c r="K21" s="12">
        <v>113569</v>
      </c>
      <c r="L21" s="40"/>
      <c r="M21" s="30">
        <v>13377</v>
      </c>
      <c r="N21" s="4"/>
      <c r="O21" s="4"/>
      <c r="P21" s="4"/>
      <c r="Q21" s="4"/>
      <c r="R21" s="4"/>
      <c r="S21" s="4"/>
      <c r="T21" s="5"/>
      <c r="U21" s="4"/>
      <c r="V21" s="5"/>
      <c r="W21" s="4"/>
    </row>
    <row r="22" spans="3:23" ht="25" customHeight="1" x14ac:dyDescent="0.3">
      <c r="C22" s="7"/>
      <c r="D22" s="4">
        <v>1951</v>
      </c>
      <c r="E22" s="12">
        <v>174924</v>
      </c>
      <c r="F22" s="40"/>
      <c r="G22" s="12">
        <v>14485</v>
      </c>
      <c r="H22" s="40"/>
      <c r="I22" s="12">
        <v>43316</v>
      </c>
      <c r="J22" s="40"/>
      <c r="K22" s="12">
        <v>98311</v>
      </c>
      <c r="L22" s="40"/>
      <c r="M22" s="30">
        <v>11094</v>
      </c>
      <c r="N22" s="4"/>
      <c r="O22" s="4"/>
      <c r="P22" s="4"/>
      <c r="Q22" s="4"/>
      <c r="R22" s="4"/>
      <c r="S22" s="4"/>
      <c r="T22" s="5"/>
      <c r="U22" s="4"/>
      <c r="V22" s="5"/>
      <c r="W22" s="4"/>
    </row>
    <row r="23" spans="3:23" ht="25" customHeight="1" x14ac:dyDescent="0.3">
      <c r="C23" s="7"/>
      <c r="D23" s="4">
        <v>1952</v>
      </c>
      <c r="E23" s="12">
        <v>167762</v>
      </c>
      <c r="F23" s="40"/>
      <c r="G23" s="12">
        <v>10449</v>
      </c>
      <c r="H23" s="40"/>
      <c r="I23" s="12">
        <v>36454</v>
      </c>
      <c r="J23" s="40"/>
      <c r="K23" s="12">
        <v>105238</v>
      </c>
      <c r="L23" s="40"/>
      <c r="M23" s="30">
        <v>8553</v>
      </c>
      <c r="N23" s="4"/>
      <c r="O23" s="4"/>
      <c r="P23" s="4"/>
      <c r="Q23" s="4"/>
      <c r="R23" s="4"/>
      <c r="S23" s="4"/>
      <c r="T23" s="5"/>
      <c r="U23" s="4"/>
      <c r="V23" s="5"/>
      <c r="W23" s="4"/>
    </row>
    <row r="24" spans="3:23" ht="25" customHeight="1" x14ac:dyDescent="0.3">
      <c r="C24" s="7"/>
      <c r="D24" s="4">
        <v>1953</v>
      </c>
      <c r="E24" s="12">
        <v>148573</v>
      </c>
      <c r="F24" s="40"/>
      <c r="G24" s="12">
        <v>8637</v>
      </c>
      <c r="H24" s="40"/>
      <c r="I24" s="12">
        <v>28295</v>
      </c>
      <c r="J24" s="40"/>
      <c r="K24" s="12">
        <v>98870</v>
      </c>
      <c r="L24" s="40"/>
      <c r="M24" s="30">
        <v>7675</v>
      </c>
      <c r="N24" s="4"/>
      <c r="O24" s="4"/>
      <c r="P24" s="4"/>
      <c r="Q24" s="4"/>
      <c r="R24" s="4"/>
      <c r="S24" s="4"/>
      <c r="T24" s="5"/>
      <c r="U24" s="4"/>
      <c r="V24" s="5"/>
      <c r="W24" s="4"/>
    </row>
    <row r="25" spans="3:23" ht="25" customHeight="1" x14ac:dyDescent="0.3">
      <c r="C25" s="7"/>
      <c r="D25" s="4">
        <v>1954</v>
      </c>
      <c r="E25" s="12">
        <v>130697</v>
      </c>
      <c r="F25" s="40"/>
      <c r="G25" s="12">
        <v>7147</v>
      </c>
      <c r="H25" s="40"/>
      <c r="I25" s="12">
        <v>23861</v>
      </c>
      <c r="J25" s="40"/>
      <c r="K25" s="12">
        <v>89123</v>
      </c>
      <c r="L25" s="40"/>
      <c r="M25" s="30">
        <v>6676</v>
      </c>
      <c r="N25" s="4"/>
      <c r="O25" s="4"/>
      <c r="P25" s="4"/>
      <c r="Q25" s="4"/>
      <c r="R25" s="4"/>
      <c r="S25" s="4"/>
      <c r="T25" s="5"/>
      <c r="U25" s="4"/>
      <c r="V25" s="5"/>
      <c r="W25" s="4"/>
    </row>
    <row r="26" spans="3:23" ht="25" customHeight="1" x14ac:dyDescent="0.3">
      <c r="C26" s="7"/>
      <c r="D26" s="4">
        <v>1955</v>
      </c>
      <c r="E26" s="12">
        <v>122392</v>
      </c>
      <c r="F26" s="40"/>
      <c r="G26" s="12">
        <v>6454</v>
      </c>
      <c r="H26" s="40"/>
      <c r="I26" s="12">
        <v>20054</v>
      </c>
      <c r="J26" s="40"/>
      <c r="K26" s="12">
        <v>86526</v>
      </c>
      <c r="L26" s="40"/>
      <c r="M26" s="30">
        <v>5354</v>
      </c>
      <c r="N26" s="4"/>
      <c r="O26" s="4"/>
      <c r="P26" s="4"/>
      <c r="Q26" s="4"/>
      <c r="R26" s="4"/>
      <c r="S26" s="4"/>
      <c r="T26" s="5"/>
      <c r="U26" s="4"/>
      <c r="V26" s="5"/>
      <c r="W26" s="4"/>
    </row>
    <row r="27" spans="3:23" ht="25" customHeight="1" x14ac:dyDescent="0.3">
      <c r="C27" s="7"/>
      <c r="D27" s="4">
        <v>1956</v>
      </c>
      <c r="E27" s="12">
        <v>130201</v>
      </c>
      <c r="F27" s="40"/>
      <c r="G27" s="12">
        <v>6392</v>
      </c>
      <c r="H27" s="40"/>
      <c r="I27" s="12">
        <v>19783</v>
      </c>
      <c r="J27" s="40"/>
      <c r="K27" s="12">
        <v>95097</v>
      </c>
      <c r="L27" s="40"/>
      <c r="M27" s="30">
        <v>5491</v>
      </c>
      <c r="N27" s="4"/>
      <c r="O27" s="4"/>
      <c r="P27" s="4"/>
      <c r="Q27" s="4"/>
      <c r="R27" s="4"/>
      <c r="S27" s="4"/>
      <c r="T27" s="5"/>
      <c r="U27" s="4"/>
      <c r="V27" s="5"/>
      <c r="W27" s="4"/>
    </row>
    <row r="28" spans="3:23" ht="25" customHeight="1" x14ac:dyDescent="0.3">
      <c r="C28" s="7"/>
      <c r="D28" s="4">
        <v>1957</v>
      </c>
      <c r="E28" s="12">
        <v>123758</v>
      </c>
      <c r="F28" s="40"/>
      <c r="G28" s="12">
        <v>6576</v>
      </c>
      <c r="H28" s="40"/>
      <c r="I28" s="12">
        <v>17796</v>
      </c>
      <c r="J28" s="40"/>
      <c r="K28" s="12">
        <v>91309</v>
      </c>
      <c r="L28" s="40"/>
      <c r="M28" s="30">
        <v>5288</v>
      </c>
      <c r="N28" s="4"/>
      <c r="O28" s="4"/>
      <c r="P28" s="4"/>
      <c r="Q28" s="4"/>
      <c r="R28" s="4"/>
      <c r="S28" s="4"/>
      <c r="T28" s="5"/>
      <c r="U28" s="4"/>
      <c r="V28" s="5"/>
      <c r="W28" s="4"/>
    </row>
    <row r="29" spans="3:23" ht="25" customHeight="1" x14ac:dyDescent="0.3">
      <c r="C29" s="7"/>
      <c r="D29" s="4">
        <v>1958</v>
      </c>
      <c r="E29" s="12">
        <v>113884</v>
      </c>
      <c r="F29" s="40"/>
      <c r="G29" s="12">
        <v>7176</v>
      </c>
      <c r="H29" s="40"/>
      <c r="I29" s="12">
        <v>16556</v>
      </c>
      <c r="J29" s="40"/>
      <c r="K29" s="12">
        <v>83027</v>
      </c>
      <c r="L29" s="40"/>
      <c r="M29" s="30">
        <v>4866</v>
      </c>
      <c r="N29" s="4"/>
      <c r="O29" s="4"/>
      <c r="P29" s="4"/>
      <c r="Q29" s="4"/>
      <c r="R29" s="4"/>
      <c r="S29" s="4"/>
      <c r="T29" s="5"/>
      <c r="U29" s="4"/>
      <c r="V29" s="5"/>
      <c r="W29" s="4"/>
    </row>
    <row r="30" spans="3:23" ht="25" customHeight="1" x14ac:dyDescent="0.3">
      <c r="C30" s="7"/>
      <c r="D30" s="4">
        <v>1959</v>
      </c>
      <c r="E30" s="12">
        <v>120824</v>
      </c>
      <c r="F30" s="40"/>
      <c r="G30" s="12">
        <v>9799</v>
      </c>
      <c r="H30" s="40"/>
      <c r="I30" s="12">
        <v>17025</v>
      </c>
      <c r="J30" s="40"/>
      <c r="K30" s="12">
        <v>86740</v>
      </c>
      <c r="L30" s="40"/>
      <c r="M30" s="30">
        <v>5130</v>
      </c>
      <c r="N30" s="4"/>
      <c r="O30" s="4"/>
      <c r="P30" s="4"/>
      <c r="Q30" s="4"/>
      <c r="R30" s="4"/>
      <c r="S30" s="4"/>
      <c r="T30" s="5"/>
      <c r="U30" s="4"/>
      <c r="V30" s="5"/>
      <c r="W30" s="4"/>
    </row>
    <row r="31" spans="3:23" ht="25" customHeight="1" x14ac:dyDescent="0.3">
      <c r="C31" s="7"/>
      <c r="D31" s="4">
        <v>1960</v>
      </c>
      <c r="E31" s="12">
        <v>122538</v>
      </c>
      <c r="F31" s="40"/>
      <c r="G31" s="12">
        <v>16145</v>
      </c>
      <c r="H31" s="40"/>
      <c r="I31" s="12">
        <v>18017</v>
      </c>
      <c r="J31" s="40"/>
      <c r="K31" s="12">
        <v>81798</v>
      </c>
      <c r="L31" s="40"/>
      <c r="M31" s="30">
        <v>4416</v>
      </c>
      <c r="N31" s="4"/>
      <c r="O31" s="4"/>
      <c r="P31" s="4"/>
      <c r="Q31" s="4"/>
      <c r="R31" s="4"/>
      <c r="S31" s="4"/>
      <c r="T31" s="5"/>
      <c r="U31" s="4"/>
      <c r="V31" s="5"/>
      <c r="W31" s="4"/>
    </row>
    <row r="32" spans="3:23" ht="25" customHeight="1" x14ac:dyDescent="0.3">
      <c r="C32" s="7"/>
      <c r="D32" s="4">
        <v>1961</v>
      </c>
      <c r="E32" s="12">
        <v>124658</v>
      </c>
      <c r="F32" s="40"/>
      <c r="G32" s="12">
        <v>19851</v>
      </c>
      <c r="H32" s="40"/>
      <c r="I32" s="12">
        <v>19486</v>
      </c>
      <c r="J32" s="40"/>
      <c r="K32" s="12">
        <v>79304</v>
      </c>
      <c r="L32" s="40"/>
      <c r="M32" s="30">
        <v>4163</v>
      </c>
      <c r="N32" s="4"/>
      <c r="O32" s="4"/>
      <c r="P32" s="4"/>
      <c r="Q32" s="4"/>
      <c r="R32" s="4"/>
      <c r="S32" s="4"/>
      <c r="T32" s="5"/>
      <c r="U32" s="4"/>
      <c r="V32" s="5"/>
      <c r="W32" s="4"/>
    </row>
    <row r="33" spans="3:31" ht="25" customHeight="1" x14ac:dyDescent="0.3">
      <c r="C33" s="7"/>
      <c r="D33" s="4">
        <v>1962</v>
      </c>
      <c r="E33" s="12">
        <v>126245</v>
      </c>
      <c r="F33" s="40"/>
      <c r="G33" s="12">
        <v>21067</v>
      </c>
      <c r="H33" s="40"/>
      <c r="I33" s="12">
        <v>19585</v>
      </c>
      <c r="J33" s="40"/>
      <c r="K33" s="12">
        <v>79533</v>
      </c>
      <c r="L33" s="40"/>
      <c r="M33" s="30">
        <v>4070</v>
      </c>
      <c r="N33" s="4"/>
      <c r="O33" s="4"/>
      <c r="P33" s="4"/>
      <c r="Q33" s="4"/>
      <c r="R33" s="4"/>
      <c r="S33" s="4"/>
      <c r="T33" s="5"/>
      <c r="U33" s="4"/>
      <c r="V33" s="5"/>
      <c r="W33" s="4"/>
    </row>
    <row r="34" spans="3:31" ht="25" customHeight="1" x14ac:dyDescent="0.3">
      <c r="C34" s="7"/>
      <c r="D34" s="4">
        <v>1963</v>
      </c>
      <c r="E34" s="12">
        <v>124137</v>
      </c>
      <c r="F34" s="40"/>
      <c r="G34" s="12">
        <v>22251</v>
      </c>
      <c r="H34" s="40"/>
      <c r="I34" s="12">
        <v>18235</v>
      </c>
      <c r="J34" s="40"/>
      <c r="K34" s="12">
        <v>78076</v>
      </c>
      <c r="L34" s="40"/>
      <c r="M34" s="30">
        <v>4031</v>
      </c>
      <c r="N34" s="4"/>
      <c r="O34" s="4"/>
      <c r="P34" s="4"/>
      <c r="Q34" s="4"/>
      <c r="R34" s="4"/>
      <c r="S34" s="4"/>
      <c r="T34" s="5"/>
      <c r="U34" s="4"/>
      <c r="V34" s="5"/>
      <c r="W34" s="4"/>
    </row>
    <row r="35" spans="3:31" ht="25" customHeight="1" x14ac:dyDescent="0.3">
      <c r="C35" s="7"/>
      <c r="D35" s="4">
        <v>1964</v>
      </c>
      <c r="E35" s="12">
        <v>114325</v>
      </c>
      <c r="F35" s="40"/>
      <c r="G35" s="12">
        <v>22969</v>
      </c>
      <c r="H35" s="40"/>
      <c r="I35" s="12">
        <v>17781</v>
      </c>
      <c r="J35" s="40"/>
      <c r="K35" s="12">
        <v>68629</v>
      </c>
      <c r="L35" s="40"/>
      <c r="M35" s="30">
        <v>3516</v>
      </c>
      <c r="N35" s="4"/>
      <c r="O35" s="4"/>
      <c r="P35" s="4"/>
      <c r="Q35" s="4"/>
      <c r="R35" s="4"/>
      <c r="S35" s="4"/>
      <c r="T35" s="5"/>
      <c r="U35" s="4"/>
      <c r="V35" s="5"/>
      <c r="W35" s="4"/>
    </row>
    <row r="36" spans="3:31" ht="25" customHeight="1" x14ac:dyDescent="0.3">
      <c r="C36" s="7"/>
      <c r="D36" s="4">
        <v>1965</v>
      </c>
      <c r="E36" s="12">
        <v>112842</v>
      </c>
      <c r="F36" s="40"/>
      <c r="G36" s="12">
        <v>23338</v>
      </c>
      <c r="H36" s="40"/>
      <c r="I36" s="12">
        <v>17458</v>
      </c>
      <c r="J36" s="40"/>
      <c r="K36" s="12">
        <v>67317</v>
      </c>
      <c r="L36" s="40"/>
      <c r="M36" s="30">
        <v>3564</v>
      </c>
      <c r="N36" s="4"/>
      <c r="O36" s="4"/>
      <c r="P36" s="4"/>
      <c r="Q36" s="4"/>
      <c r="R36" s="4"/>
      <c r="S36" s="4"/>
      <c r="T36" s="5"/>
      <c r="U36" s="4"/>
      <c r="V36" s="4"/>
      <c r="W36" s="4"/>
    </row>
    <row r="37" spans="3:31" ht="25" customHeight="1" x14ac:dyDescent="0.3">
      <c r="C37" s="7"/>
      <c r="D37" s="4">
        <v>1966</v>
      </c>
      <c r="E37" s="12">
        <v>105159</v>
      </c>
      <c r="F37" s="40"/>
      <c r="G37" s="12">
        <v>21414</v>
      </c>
      <c r="H37" s="40"/>
      <c r="I37" s="12">
        <v>15950</v>
      </c>
      <c r="J37" s="40"/>
      <c r="K37" s="12">
        <v>63541</v>
      </c>
      <c r="L37" s="40"/>
      <c r="M37" s="30">
        <v>3170</v>
      </c>
      <c r="N37" s="4"/>
      <c r="O37" s="4"/>
      <c r="P37" s="4"/>
      <c r="Q37" s="4"/>
      <c r="R37" s="4"/>
      <c r="S37" s="4"/>
      <c r="T37" s="5"/>
      <c r="U37" s="4"/>
      <c r="V37" s="4"/>
      <c r="W37" s="4"/>
    </row>
    <row r="38" spans="3:31" ht="25" customHeight="1" x14ac:dyDescent="0.3">
      <c r="C38" s="7"/>
      <c r="D38" s="4">
        <v>1967</v>
      </c>
      <c r="E38" s="12">
        <v>102581</v>
      </c>
      <c r="F38" s="40"/>
      <c r="G38" s="12">
        <v>21053</v>
      </c>
      <c r="H38" s="40"/>
      <c r="I38" s="12">
        <v>15554</v>
      </c>
      <c r="J38" s="40"/>
      <c r="K38" s="12">
        <v>61975</v>
      </c>
      <c r="L38" s="40"/>
      <c r="M38" s="30">
        <v>2894</v>
      </c>
      <c r="N38" s="4"/>
      <c r="O38" s="4"/>
      <c r="P38" s="4"/>
      <c r="Q38" s="4"/>
      <c r="R38" s="4"/>
      <c r="S38" s="4"/>
      <c r="T38" s="5"/>
      <c r="U38" s="4"/>
      <c r="V38" s="4"/>
      <c r="W38" s="4"/>
    </row>
    <row r="39" spans="3:31" ht="25" customHeight="1" x14ac:dyDescent="0.35">
      <c r="C39" s="7"/>
      <c r="D39" s="4">
        <v>1968</v>
      </c>
      <c r="E39" s="12">
        <v>96271</v>
      </c>
      <c r="F39" s="40"/>
      <c r="G39" s="12">
        <v>19019</v>
      </c>
      <c r="H39" s="40"/>
      <c r="I39" s="12">
        <v>15150</v>
      </c>
      <c r="J39" s="40"/>
      <c r="K39" s="12">
        <v>58564</v>
      </c>
      <c r="L39" s="40"/>
      <c r="M39" s="30">
        <v>2381</v>
      </c>
      <c r="N39" s="4"/>
      <c r="O39" s="4"/>
      <c r="P39" s="4"/>
      <c r="Q39" s="4"/>
      <c r="R39" s="4"/>
      <c r="S39" s="4"/>
      <c r="T39" s="5"/>
      <c r="U39" s="4"/>
      <c r="V39" s="4"/>
      <c r="W39" s="4"/>
      <c r="Y39" s="23"/>
      <c r="Z39" s="23"/>
      <c r="AA39" s="23"/>
      <c r="AB39" s="23"/>
      <c r="AC39" s="23"/>
      <c r="AD39" s="23"/>
    </row>
    <row r="40" spans="3:31" ht="25" customHeight="1" x14ac:dyDescent="0.35">
      <c r="C40" s="7"/>
      <c r="D40" s="4">
        <v>1969</v>
      </c>
      <c r="E40" s="12">
        <v>92162</v>
      </c>
      <c r="F40" s="40"/>
      <c r="G40" s="12">
        <v>19130</v>
      </c>
      <c r="H40" s="40"/>
      <c r="I40" s="12">
        <v>15402</v>
      </c>
      <c r="J40" s="40"/>
      <c r="K40" s="12">
        <v>54587</v>
      </c>
      <c r="L40" s="40"/>
      <c r="M40" s="30">
        <v>2074</v>
      </c>
      <c r="N40" s="4"/>
      <c r="O40" s="4"/>
      <c r="P40" s="4"/>
      <c r="Q40" s="4"/>
      <c r="R40" s="4"/>
      <c r="S40" s="4"/>
      <c r="T40" s="5"/>
      <c r="U40" s="4"/>
      <c r="V40" s="5"/>
      <c r="W40" s="4"/>
      <c r="Y40" s="23"/>
      <c r="Z40" s="23"/>
      <c r="AA40" s="23"/>
      <c r="AB40" s="23"/>
      <c r="AC40" s="23"/>
      <c r="AD40" s="23"/>
    </row>
    <row r="41" spans="3:31" ht="25" customHeight="1" x14ac:dyDescent="0.35">
      <c r="C41" s="7">
        <f>E41/E61</f>
        <v>0.67395825650859209</v>
      </c>
      <c r="D41" s="4">
        <v>1970</v>
      </c>
      <c r="E41" s="12">
        <v>91382</v>
      </c>
      <c r="F41" s="40"/>
      <c r="G41" s="35">
        <v>21982</v>
      </c>
      <c r="H41" s="40"/>
      <c r="I41" s="35">
        <v>16311</v>
      </c>
      <c r="J41" s="40"/>
      <c r="K41" s="35">
        <v>50348</v>
      </c>
      <c r="L41" s="40"/>
      <c r="M41" s="30">
        <v>1953</v>
      </c>
      <c r="N41" s="4"/>
      <c r="O41" s="4"/>
      <c r="P41" s="4"/>
      <c r="Q41" s="4"/>
      <c r="R41" s="4"/>
      <c r="S41" s="4"/>
      <c r="T41" s="5"/>
      <c r="U41" s="4"/>
      <c r="V41" s="5"/>
      <c r="W41" s="4"/>
      <c r="Y41" s="26"/>
      <c r="Z41" s="26"/>
      <c r="AA41" s="26"/>
      <c r="AB41" s="26"/>
      <c r="AC41" s="26"/>
      <c r="AD41" s="26"/>
      <c r="AE41" s="26"/>
    </row>
    <row r="42" spans="3:31" ht="25" customHeight="1" x14ac:dyDescent="0.35">
      <c r="C42" s="7"/>
      <c r="D42" s="4">
        <v>1971</v>
      </c>
      <c r="E42" s="12">
        <v>95997</v>
      </c>
      <c r="F42" s="40"/>
      <c r="G42" s="12">
        <v>23783</v>
      </c>
      <c r="H42" s="40"/>
      <c r="I42" s="12">
        <v>19417</v>
      </c>
      <c r="J42" s="40"/>
      <c r="K42" s="12">
        <v>49993</v>
      </c>
      <c r="L42" s="40"/>
      <c r="M42" s="30">
        <v>2052</v>
      </c>
      <c r="N42" s="4"/>
      <c r="O42" s="4"/>
      <c r="P42" s="4"/>
      <c r="Q42" s="4"/>
      <c r="R42" s="4"/>
      <c r="S42" s="4"/>
      <c r="T42" s="5"/>
      <c r="U42" s="4"/>
      <c r="V42" s="5"/>
      <c r="W42" s="4"/>
      <c r="Y42" s="26"/>
    </row>
    <row r="43" spans="3:31" ht="25" customHeight="1" x14ac:dyDescent="0.3">
      <c r="C43" s="7"/>
      <c r="D43" s="4">
        <v>1972</v>
      </c>
      <c r="E43" s="12">
        <v>91149</v>
      </c>
      <c r="F43" s="40"/>
      <c r="G43" s="12">
        <v>24429</v>
      </c>
      <c r="H43" s="40"/>
      <c r="I43" s="12">
        <v>20784</v>
      </c>
      <c r="J43" s="40"/>
      <c r="K43" s="12">
        <v>43456</v>
      </c>
      <c r="L43" s="40"/>
      <c r="M43" s="30">
        <v>1758</v>
      </c>
      <c r="N43" s="4"/>
      <c r="O43" s="4"/>
      <c r="P43" s="4"/>
      <c r="Q43" s="4"/>
      <c r="R43" s="4"/>
      <c r="S43" s="4"/>
      <c r="T43" s="5"/>
      <c r="U43" s="4"/>
      <c r="V43" s="5"/>
      <c r="W43" s="4"/>
    </row>
    <row r="44" spans="3:31" ht="25" customHeight="1" x14ac:dyDescent="0.3">
      <c r="C44" s="7"/>
      <c r="D44" s="4">
        <v>1973</v>
      </c>
      <c r="E44" s="12">
        <v>87469</v>
      </c>
      <c r="F44" s="40"/>
      <c r="G44" s="12">
        <v>24825</v>
      </c>
      <c r="H44" s="40"/>
      <c r="I44" s="12">
        <v>23584</v>
      </c>
      <c r="J44" s="40"/>
      <c r="K44" s="12">
        <v>37054</v>
      </c>
      <c r="L44" s="40"/>
      <c r="M44" s="30">
        <v>1527</v>
      </c>
      <c r="N44" s="4"/>
      <c r="O44" s="4"/>
      <c r="P44" s="4"/>
      <c r="Q44" s="4"/>
      <c r="R44" s="4"/>
      <c r="S44" s="4"/>
      <c r="T44" s="5"/>
      <c r="U44" s="4"/>
      <c r="V44" s="5"/>
      <c r="W44" s="4"/>
    </row>
    <row r="45" spans="3:31" ht="25" customHeight="1" x14ac:dyDescent="0.3">
      <c r="C45" s="7"/>
      <c r="D45" s="4">
        <v>1974</v>
      </c>
      <c r="E45" s="12">
        <v>83771</v>
      </c>
      <c r="F45" s="40"/>
      <c r="G45" s="12">
        <v>25385</v>
      </c>
      <c r="H45" s="40"/>
      <c r="I45" s="12">
        <v>25124</v>
      </c>
      <c r="J45" s="40"/>
      <c r="K45" s="12">
        <v>31854</v>
      </c>
      <c r="L45" s="40"/>
      <c r="M45" s="30">
        <v>1138</v>
      </c>
      <c r="N45" s="4"/>
      <c r="O45" s="4"/>
      <c r="P45" s="4"/>
      <c r="Q45" s="4"/>
      <c r="R45" s="4"/>
      <c r="S45" s="4"/>
      <c r="T45" s="5"/>
      <c r="U45" s="4"/>
      <c r="V45" s="4"/>
      <c r="W45" s="4"/>
    </row>
    <row r="46" spans="3:31" ht="25" customHeight="1" x14ac:dyDescent="0.3">
      <c r="C46" s="7"/>
      <c r="D46" s="4">
        <v>1975</v>
      </c>
      <c r="E46" s="12">
        <v>80356</v>
      </c>
      <c r="F46" s="40"/>
      <c r="G46" s="12">
        <v>25561</v>
      </c>
      <c r="H46" s="40"/>
      <c r="I46" s="12">
        <v>26569</v>
      </c>
      <c r="J46" s="40"/>
      <c r="K46" s="12">
        <v>27096</v>
      </c>
      <c r="L46" s="40"/>
      <c r="M46" s="32">
        <v>916</v>
      </c>
      <c r="N46" s="4"/>
      <c r="O46" s="4"/>
      <c r="P46" s="4"/>
      <c r="Q46" s="4"/>
      <c r="R46" s="4"/>
      <c r="S46" s="4"/>
      <c r="T46" s="5"/>
      <c r="U46" s="4"/>
      <c r="V46" s="4"/>
      <c r="W46" s="4"/>
    </row>
    <row r="47" spans="3:31" ht="25" customHeight="1" x14ac:dyDescent="0.3">
      <c r="C47" s="7"/>
      <c r="D47" s="4">
        <v>1976</v>
      </c>
      <c r="E47" s="12">
        <v>71761</v>
      </c>
      <c r="F47" s="40"/>
      <c r="G47" s="12">
        <v>23731</v>
      </c>
      <c r="H47" s="40"/>
      <c r="I47" s="12">
        <v>25363</v>
      </c>
      <c r="J47" s="40"/>
      <c r="K47" s="12">
        <v>21905</v>
      </c>
      <c r="L47" s="40"/>
      <c r="M47" s="32">
        <v>626</v>
      </c>
      <c r="N47" s="4"/>
      <c r="O47" s="4"/>
      <c r="P47" s="4"/>
      <c r="Q47" s="4"/>
      <c r="R47" s="4"/>
      <c r="S47" s="4"/>
      <c r="T47" s="5"/>
      <c r="U47" s="4"/>
      <c r="V47" s="4"/>
      <c r="W47" s="4"/>
    </row>
    <row r="48" spans="3:31" ht="25" customHeight="1" x14ac:dyDescent="0.3">
      <c r="C48" s="7"/>
      <c r="D48" s="4">
        <v>1977</v>
      </c>
      <c r="E48" s="12">
        <v>64621</v>
      </c>
      <c r="F48" s="40"/>
      <c r="G48" s="12">
        <v>20399</v>
      </c>
      <c r="H48" s="40"/>
      <c r="I48" s="12">
        <v>21329</v>
      </c>
      <c r="J48" s="40"/>
      <c r="K48" s="12">
        <v>22313</v>
      </c>
      <c r="L48" s="40"/>
      <c r="M48" s="32">
        <v>463</v>
      </c>
      <c r="N48" s="4"/>
      <c r="O48" s="4"/>
      <c r="P48" s="4"/>
      <c r="Q48" s="4"/>
      <c r="R48" s="4"/>
      <c r="S48" s="4"/>
      <c r="T48" s="5"/>
      <c r="U48" s="4"/>
      <c r="V48" s="4"/>
      <c r="W48" s="4"/>
    </row>
    <row r="49" spans="3:23" ht="25" customHeight="1" x14ac:dyDescent="0.3">
      <c r="C49" s="7"/>
      <c r="D49" s="4">
        <v>1978</v>
      </c>
      <c r="E49" s="12">
        <v>64875</v>
      </c>
      <c r="F49" s="40"/>
      <c r="G49" s="12">
        <v>21656</v>
      </c>
      <c r="H49" s="40"/>
      <c r="I49" s="12">
        <v>19628</v>
      </c>
      <c r="J49" s="40"/>
      <c r="K49" s="12">
        <v>23038</v>
      </c>
      <c r="L49" s="40"/>
      <c r="M49" s="32">
        <v>434</v>
      </c>
      <c r="N49" s="4"/>
      <c r="O49" s="4"/>
      <c r="P49" s="4"/>
      <c r="Q49" s="4"/>
      <c r="R49" s="4"/>
      <c r="S49" s="4"/>
      <c r="T49" s="5"/>
      <c r="U49" s="4"/>
      <c r="V49" s="4"/>
      <c r="W49" s="4"/>
    </row>
    <row r="50" spans="3:23" ht="25" customHeight="1" x14ac:dyDescent="0.3">
      <c r="C50" s="7"/>
      <c r="D50" s="4">
        <v>1979</v>
      </c>
      <c r="E50" s="12">
        <v>67049</v>
      </c>
      <c r="F50" s="40"/>
      <c r="G50" s="12">
        <v>24874</v>
      </c>
      <c r="H50" s="40"/>
      <c r="I50" s="12">
        <v>20459</v>
      </c>
      <c r="J50" s="40"/>
      <c r="K50" s="12">
        <v>21301</v>
      </c>
      <c r="L50" s="40"/>
      <c r="M50" s="32">
        <v>332</v>
      </c>
      <c r="N50" s="4"/>
      <c r="O50" s="4"/>
      <c r="P50" s="4"/>
      <c r="Q50" s="4"/>
      <c r="R50" s="4"/>
      <c r="S50" s="4"/>
      <c r="T50" s="5"/>
      <c r="U50" s="4"/>
      <c r="V50" s="4"/>
      <c r="W50" s="4"/>
    </row>
    <row r="51" spans="3:23" ht="25" customHeight="1" x14ac:dyDescent="0.3">
      <c r="C51" s="7"/>
      <c r="D51" s="4">
        <v>1980</v>
      </c>
      <c r="E51" s="12">
        <v>68832</v>
      </c>
      <c r="F51" s="40"/>
      <c r="G51" s="12">
        <v>27204</v>
      </c>
      <c r="H51" s="40"/>
      <c r="I51" s="12">
        <v>20297</v>
      </c>
      <c r="J51" s="40"/>
      <c r="K51" s="12">
        <v>20979</v>
      </c>
      <c r="L51" s="40"/>
      <c r="M51" s="32">
        <v>277</v>
      </c>
      <c r="N51" s="4"/>
      <c r="O51" s="4"/>
      <c r="P51" s="4"/>
      <c r="Q51" s="4"/>
      <c r="R51" s="4"/>
      <c r="S51" s="4"/>
      <c r="T51" s="5"/>
      <c r="U51" s="4"/>
      <c r="V51" s="4"/>
      <c r="W51" s="4"/>
    </row>
    <row r="52" spans="3:23" ht="25" customHeight="1" x14ac:dyDescent="0.3">
      <c r="C52" s="7"/>
      <c r="D52" s="4">
        <v>1981</v>
      </c>
      <c r="E52" s="12">
        <v>72799</v>
      </c>
      <c r="F52" s="40"/>
      <c r="G52" s="12">
        <v>31266</v>
      </c>
      <c r="H52" s="40"/>
      <c r="I52" s="12">
        <v>21033</v>
      </c>
      <c r="J52" s="40"/>
      <c r="K52" s="12">
        <v>20168</v>
      </c>
      <c r="L52" s="40"/>
      <c r="M52" s="32">
        <v>287</v>
      </c>
      <c r="N52" s="4"/>
      <c r="O52" s="4"/>
      <c r="P52" s="4"/>
      <c r="Q52" s="4"/>
      <c r="R52" s="4"/>
      <c r="S52" s="4"/>
      <c r="T52" s="5"/>
      <c r="U52" s="4"/>
      <c r="V52" s="4"/>
      <c r="W52" s="4"/>
    </row>
    <row r="53" spans="3:23" ht="25" customHeight="1" x14ac:dyDescent="0.3">
      <c r="C53" s="7"/>
      <c r="D53" s="4">
        <v>1982</v>
      </c>
      <c r="E53" s="12">
        <v>75579</v>
      </c>
      <c r="F53" s="40"/>
      <c r="G53" s="12">
        <v>33613</v>
      </c>
      <c r="H53" s="40"/>
      <c r="I53" s="12">
        <v>21894</v>
      </c>
      <c r="J53" s="40"/>
      <c r="K53" s="12">
        <v>19779</v>
      </c>
      <c r="L53" s="40"/>
      <c r="M53" s="32">
        <v>259</v>
      </c>
      <c r="N53" s="4"/>
      <c r="O53" s="4"/>
      <c r="P53" s="4"/>
      <c r="Q53" s="4"/>
      <c r="R53" s="4"/>
      <c r="S53" s="4"/>
      <c r="T53" s="5"/>
      <c r="U53" s="4"/>
      <c r="V53" s="5"/>
      <c r="W53" s="4"/>
    </row>
    <row r="54" spans="3:23" ht="25" customHeight="1" x14ac:dyDescent="0.3">
      <c r="C54" s="7"/>
      <c r="D54" s="4">
        <v>1983</v>
      </c>
      <c r="E54" s="12">
        <v>74637</v>
      </c>
      <c r="F54" s="40"/>
      <c r="G54" s="12">
        <v>32698</v>
      </c>
      <c r="H54" s="40"/>
      <c r="I54" s="12">
        <v>23738</v>
      </c>
      <c r="J54" s="40"/>
      <c r="K54" s="12">
        <v>17896</v>
      </c>
      <c r="L54" s="40"/>
      <c r="M54" s="32">
        <v>239</v>
      </c>
      <c r="N54" s="4"/>
      <c r="O54" s="4"/>
      <c r="P54" s="4"/>
      <c r="Q54" s="4"/>
      <c r="R54" s="4"/>
      <c r="S54" s="4"/>
      <c r="T54" s="5"/>
      <c r="U54" s="4"/>
      <c r="V54" s="4"/>
      <c r="W54" s="4"/>
    </row>
    <row r="55" spans="3:23" ht="25" customHeight="1" x14ac:dyDescent="0.3">
      <c r="C55" s="7"/>
      <c r="D55" s="4">
        <v>1984</v>
      </c>
      <c r="E55" s="12">
        <v>69872</v>
      </c>
      <c r="F55" s="40"/>
      <c r="G55" s="12">
        <v>28607</v>
      </c>
      <c r="H55" s="40"/>
      <c r="I55" s="12">
        <v>23131</v>
      </c>
      <c r="J55" s="40"/>
      <c r="K55" s="12">
        <v>17829</v>
      </c>
      <c r="L55" s="40"/>
      <c r="M55" s="32">
        <v>305</v>
      </c>
      <c r="N55" s="4"/>
      <c r="O55" s="5"/>
      <c r="P55" s="5"/>
      <c r="Q55" s="5"/>
      <c r="R55" s="5"/>
      <c r="S55" s="4"/>
      <c r="T55" s="5"/>
      <c r="U55" s="4"/>
      <c r="V55" s="4"/>
      <c r="W55" s="4"/>
    </row>
    <row r="56" spans="3:23" ht="25" customHeight="1" x14ac:dyDescent="0.3">
      <c r="C56" s="7"/>
      <c r="D56" s="4">
        <v>1985</v>
      </c>
      <c r="E56" s="12">
        <v>67563</v>
      </c>
      <c r="F56" s="40"/>
      <c r="G56" s="12">
        <v>27131</v>
      </c>
      <c r="H56" s="40"/>
      <c r="I56" s="12">
        <v>21689</v>
      </c>
      <c r="J56" s="40"/>
      <c r="K56" s="12">
        <v>18414</v>
      </c>
      <c r="L56" s="40"/>
      <c r="M56" s="32">
        <v>329</v>
      </c>
      <c r="N56" s="4"/>
      <c r="O56" s="5"/>
      <c r="P56" s="5"/>
      <c r="Q56" s="5"/>
      <c r="R56" s="5"/>
      <c r="S56" s="4"/>
      <c r="T56" s="5"/>
      <c r="U56" s="4"/>
      <c r="V56" s="5"/>
      <c r="W56" s="4"/>
    </row>
    <row r="57" spans="3:23" ht="25" customHeight="1" x14ac:dyDescent="0.3">
      <c r="C57" s="7"/>
      <c r="D57" s="4">
        <v>1986</v>
      </c>
      <c r="E57" s="12">
        <v>67779</v>
      </c>
      <c r="F57" s="40"/>
      <c r="G57" s="12">
        <v>27667</v>
      </c>
      <c r="H57" s="40"/>
      <c r="I57" s="12">
        <v>21656</v>
      </c>
      <c r="J57" s="40"/>
      <c r="K57" s="12">
        <v>18046</v>
      </c>
      <c r="L57" s="40"/>
      <c r="M57" s="32">
        <v>410</v>
      </c>
      <c r="N57" s="4"/>
      <c r="O57" s="5"/>
      <c r="P57" s="5"/>
      <c r="Q57" s="5"/>
      <c r="R57" s="5"/>
      <c r="S57" s="4"/>
      <c r="T57" s="5"/>
      <c r="U57" s="4"/>
      <c r="V57" s="5"/>
      <c r="W57" s="4"/>
    </row>
    <row r="58" spans="3:23" ht="25" customHeight="1" x14ac:dyDescent="0.3">
      <c r="C58" s="7"/>
      <c r="D58" s="4">
        <v>1987</v>
      </c>
      <c r="E58" s="12">
        <v>87286</v>
      </c>
      <c r="F58" s="40"/>
      <c r="G58" s="12">
        <v>35585</v>
      </c>
      <c r="H58" s="40"/>
      <c r="I58" s="12">
        <v>28233</v>
      </c>
      <c r="J58" s="40"/>
      <c r="K58" s="12">
        <v>22988</v>
      </c>
      <c r="L58" s="40"/>
      <c r="M58" s="32">
        <v>480</v>
      </c>
      <c r="N58" s="4"/>
      <c r="O58" s="5"/>
      <c r="P58" s="5"/>
      <c r="Q58" s="5"/>
      <c r="R58" s="5"/>
      <c r="S58" s="4"/>
      <c r="T58" s="5"/>
      <c r="U58" s="4"/>
      <c r="V58" s="5"/>
      <c r="W58" s="4"/>
    </row>
    <row r="59" spans="3:23" ht="25" customHeight="1" x14ac:dyDescent="0.3">
      <c r="C59" s="7"/>
      <c r="D59" s="4">
        <v>1988</v>
      </c>
      <c r="E59" s="12">
        <v>104546</v>
      </c>
      <c r="F59" s="40"/>
      <c r="G59" s="12">
        <v>40474</v>
      </c>
      <c r="H59" s="40"/>
      <c r="I59" s="12">
        <v>35968</v>
      </c>
      <c r="J59" s="40"/>
      <c r="K59" s="12">
        <v>27363</v>
      </c>
      <c r="L59" s="40"/>
      <c r="M59" s="32">
        <v>741</v>
      </c>
      <c r="N59" s="4"/>
      <c r="O59" s="5"/>
      <c r="P59" s="5"/>
      <c r="Q59" s="5"/>
      <c r="R59" s="5"/>
      <c r="S59" s="4"/>
      <c r="T59" s="5"/>
      <c r="U59" s="4"/>
      <c r="V59" s="5"/>
      <c r="W59" s="4"/>
    </row>
    <row r="60" spans="3:23" ht="25" customHeight="1" x14ac:dyDescent="0.3">
      <c r="C60" s="7"/>
      <c r="D60" s="4">
        <v>1989</v>
      </c>
      <c r="E60" s="12">
        <v>115089</v>
      </c>
      <c r="F60" s="40"/>
      <c r="G60" s="12">
        <v>45826</v>
      </c>
      <c r="H60" s="40"/>
      <c r="I60" s="12">
        <v>45394</v>
      </c>
      <c r="J60" s="40"/>
      <c r="K60" s="12">
        <v>22032</v>
      </c>
      <c r="L60" s="40"/>
      <c r="M60" s="30">
        <v>1837</v>
      </c>
      <c r="N60" s="4"/>
      <c r="O60" s="5"/>
      <c r="P60" s="5"/>
      <c r="Q60" s="5"/>
      <c r="R60" s="5"/>
      <c r="S60" s="4"/>
      <c r="T60" s="5"/>
      <c r="U60" s="4"/>
      <c r="V60" s="5"/>
      <c r="W60" s="4"/>
    </row>
    <row r="61" spans="3:23" ht="25" customHeight="1" x14ac:dyDescent="0.3">
      <c r="C61" s="7">
        <f>E61/E41</f>
        <v>1.4837714210676063</v>
      </c>
      <c r="D61" s="4">
        <v>1990</v>
      </c>
      <c r="E61" s="12">
        <v>135590</v>
      </c>
      <c r="F61" s="40"/>
      <c r="G61" s="35">
        <v>50578</v>
      </c>
      <c r="H61" s="40"/>
      <c r="I61" s="35">
        <v>55397</v>
      </c>
      <c r="J61" s="40"/>
      <c r="K61" s="35">
        <v>25750</v>
      </c>
      <c r="L61" s="40"/>
      <c r="M61" s="30">
        <v>3865</v>
      </c>
      <c r="N61" s="4"/>
      <c r="O61" s="5"/>
      <c r="P61" s="5"/>
      <c r="Q61" s="5"/>
      <c r="R61" s="5"/>
      <c r="S61" s="4"/>
      <c r="T61" s="5"/>
      <c r="U61" s="4"/>
      <c r="V61" s="5"/>
      <c r="W61" s="4"/>
    </row>
    <row r="62" spans="3:23" ht="25" customHeight="1" x14ac:dyDescent="0.3">
      <c r="C62" s="7"/>
      <c r="D62" s="4">
        <v>1991</v>
      </c>
      <c r="E62" s="12">
        <v>128719</v>
      </c>
      <c r="F62" s="40"/>
      <c r="G62" s="12">
        <v>42950</v>
      </c>
      <c r="H62" s="40"/>
      <c r="I62" s="12">
        <v>53855</v>
      </c>
      <c r="J62" s="40"/>
      <c r="K62" s="12">
        <v>27490</v>
      </c>
      <c r="L62" s="40"/>
      <c r="M62" s="30">
        <v>4424</v>
      </c>
      <c r="N62" s="4"/>
      <c r="O62" s="5"/>
      <c r="P62" s="5"/>
      <c r="Q62" s="5"/>
      <c r="R62" s="5"/>
      <c r="S62" s="4"/>
      <c r="T62" s="5"/>
      <c r="U62" s="4"/>
      <c r="V62" s="5"/>
      <c r="W62" s="4"/>
    </row>
    <row r="63" spans="3:23" ht="25" customHeight="1" x14ac:dyDescent="0.3">
      <c r="C63" s="7"/>
      <c r="D63" s="4">
        <v>1992</v>
      </c>
      <c r="E63" s="12">
        <v>114730</v>
      </c>
      <c r="F63" s="40"/>
      <c r="G63" s="12">
        <v>34009</v>
      </c>
      <c r="H63" s="40"/>
      <c r="I63" s="12">
        <v>49929</v>
      </c>
      <c r="J63" s="40"/>
      <c r="K63" s="12">
        <v>26725</v>
      </c>
      <c r="L63" s="40"/>
      <c r="M63" s="30">
        <v>4067</v>
      </c>
      <c r="N63" s="4"/>
      <c r="O63" s="5"/>
      <c r="P63" s="5"/>
      <c r="Q63" s="5"/>
      <c r="R63" s="5"/>
      <c r="S63" s="4"/>
      <c r="T63" s="5"/>
      <c r="U63" s="4"/>
      <c r="V63" s="5"/>
      <c r="W63" s="4"/>
    </row>
    <row r="64" spans="3:23" ht="25" customHeight="1" x14ac:dyDescent="0.3">
      <c r="C64" s="7"/>
      <c r="D64" s="4">
        <v>1993</v>
      </c>
      <c r="E64" s="12">
        <v>102612</v>
      </c>
      <c r="F64" s="40"/>
      <c r="G64" s="12">
        <v>26527</v>
      </c>
      <c r="H64" s="40"/>
      <c r="I64" s="12">
        <v>41919</v>
      </c>
      <c r="J64" s="40"/>
      <c r="K64" s="12">
        <v>30746</v>
      </c>
      <c r="L64" s="40"/>
      <c r="M64" s="30">
        <v>3420</v>
      </c>
      <c r="N64" s="4"/>
      <c r="O64" s="5"/>
      <c r="P64" s="5"/>
      <c r="Q64" s="5"/>
      <c r="R64" s="5"/>
      <c r="S64" s="4"/>
      <c r="T64" s="5"/>
      <c r="U64" s="4"/>
      <c r="V64" s="5"/>
      <c r="W64" s="4"/>
    </row>
    <row r="65" spans="3:23" ht="25" customHeight="1" x14ac:dyDescent="0.3">
      <c r="C65" s="7"/>
      <c r="D65" s="4">
        <v>1994</v>
      </c>
      <c r="E65" s="12">
        <v>82713</v>
      </c>
      <c r="F65" s="40"/>
      <c r="G65" s="12">
        <v>20641</v>
      </c>
      <c r="H65" s="40"/>
      <c r="I65" s="12">
        <v>32017</v>
      </c>
      <c r="J65" s="40"/>
      <c r="K65" s="12">
        <v>27603</v>
      </c>
      <c r="L65" s="40"/>
      <c r="M65" s="30">
        <v>2452</v>
      </c>
      <c r="N65" s="4"/>
      <c r="O65" s="5"/>
      <c r="P65" s="5"/>
      <c r="Q65" s="5"/>
      <c r="R65" s="5"/>
      <c r="S65" s="4"/>
      <c r="T65" s="5"/>
      <c r="U65" s="4"/>
      <c r="V65" s="4"/>
      <c r="W65" s="4"/>
    </row>
    <row r="66" spans="3:23" ht="25" customHeight="1" x14ac:dyDescent="0.3">
      <c r="C66" s="7"/>
      <c r="D66" s="4">
        <v>1995</v>
      </c>
      <c r="E66" s="12">
        <v>69359</v>
      </c>
      <c r="F66" s="40"/>
      <c r="G66" s="12">
        <v>16543</v>
      </c>
      <c r="H66" s="40"/>
      <c r="I66" s="12">
        <v>26657</v>
      </c>
      <c r="J66" s="40"/>
      <c r="K66" s="12">
        <v>24296</v>
      </c>
      <c r="L66" s="40"/>
      <c r="M66" s="30">
        <v>1863</v>
      </c>
      <c r="N66" s="4"/>
      <c r="O66" s="5"/>
      <c r="P66" s="5"/>
      <c r="Q66" s="5"/>
      <c r="R66" s="5"/>
      <c r="S66" s="4"/>
      <c r="T66" s="5"/>
      <c r="U66" s="4"/>
      <c r="V66" s="4"/>
      <c r="W66" s="4"/>
    </row>
    <row r="67" spans="3:23" ht="25" customHeight="1" x14ac:dyDescent="0.3">
      <c r="C67" s="7"/>
      <c r="D67" s="4">
        <v>1996</v>
      </c>
      <c r="E67" s="12">
        <v>53240</v>
      </c>
      <c r="F67" s="40"/>
      <c r="G67" s="12">
        <v>11405</v>
      </c>
      <c r="H67" s="40"/>
      <c r="I67" s="12">
        <v>20187</v>
      </c>
      <c r="J67" s="40"/>
      <c r="K67" s="12">
        <v>20366</v>
      </c>
      <c r="L67" s="40"/>
      <c r="M67" s="30">
        <v>1282</v>
      </c>
      <c r="N67" s="4"/>
      <c r="O67" s="5"/>
      <c r="P67" s="5"/>
      <c r="Q67" s="5"/>
      <c r="R67" s="5"/>
      <c r="S67" s="4"/>
      <c r="T67" s="5"/>
      <c r="U67" s="4"/>
      <c r="V67" s="4"/>
      <c r="W67" s="4"/>
    </row>
    <row r="68" spans="3:23" ht="25" customHeight="1" x14ac:dyDescent="0.3">
      <c r="C68" s="7"/>
      <c r="D68" s="4">
        <v>1997</v>
      </c>
      <c r="E68" s="12">
        <v>46716</v>
      </c>
      <c r="F68" s="40"/>
      <c r="G68" s="12">
        <v>8556</v>
      </c>
      <c r="H68" s="40"/>
      <c r="I68" s="12">
        <v>16631</v>
      </c>
      <c r="J68" s="40"/>
      <c r="K68" s="12">
        <v>20447</v>
      </c>
      <c r="L68" s="40"/>
      <c r="M68" s="30">
        <v>1082</v>
      </c>
      <c r="N68" s="4"/>
      <c r="O68" s="5"/>
      <c r="P68" s="5"/>
      <c r="Q68" s="5"/>
      <c r="R68" s="5"/>
      <c r="S68" s="4"/>
      <c r="T68" s="5"/>
      <c r="U68" s="4"/>
      <c r="V68" s="4"/>
      <c r="W68" s="4"/>
    </row>
    <row r="69" spans="3:23" ht="25" customHeight="1" x14ac:dyDescent="0.3">
      <c r="C69" s="7"/>
      <c r="D69" s="4">
        <v>1998</v>
      </c>
      <c r="E69" s="12">
        <v>38289</v>
      </c>
      <c r="F69" s="40"/>
      <c r="G69" s="12">
        <v>7007</v>
      </c>
      <c r="H69" s="40"/>
      <c r="I69" s="12">
        <v>12696</v>
      </c>
      <c r="J69" s="40"/>
      <c r="K69" s="12">
        <v>17743</v>
      </c>
      <c r="L69" s="40"/>
      <c r="M69" s="32">
        <v>843</v>
      </c>
      <c r="N69" s="4"/>
      <c r="O69" s="5"/>
      <c r="P69" s="5"/>
      <c r="Q69" s="5"/>
      <c r="R69" s="5"/>
      <c r="S69" s="4"/>
      <c r="T69" s="5"/>
      <c r="U69" s="4"/>
      <c r="V69" s="4"/>
      <c r="W69" s="4"/>
    </row>
    <row r="70" spans="3:23" ht="25" customHeight="1" x14ac:dyDescent="0.3">
      <c r="C70" s="7"/>
      <c r="D70" s="4">
        <v>1999</v>
      </c>
      <c r="E70" s="12">
        <v>35386</v>
      </c>
      <c r="F70" s="40"/>
      <c r="G70" s="12">
        <v>6617</v>
      </c>
      <c r="H70" s="40"/>
      <c r="I70" s="12">
        <v>11534</v>
      </c>
      <c r="J70" s="40"/>
      <c r="K70" s="12">
        <v>16655</v>
      </c>
      <c r="L70" s="40"/>
      <c r="M70" s="32">
        <v>580</v>
      </c>
      <c r="N70" s="4"/>
      <c r="O70" s="5"/>
      <c r="P70" s="5"/>
      <c r="Q70" s="5"/>
      <c r="R70" s="5"/>
      <c r="S70" s="4"/>
      <c r="T70" s="5"/>
      <c r="U70" s="4"/>
      <c r="V70" s="4"/>
      <c r="W70" s="4"/>
    </row>
    <row r="71" spans="3:23" ht="25" customHeight="1" x14ac:dyDescent="0.3">
      <c r="C71" s="7"/>
      <c r="D71" s="4">
        <v>2000</v>
      </c>
      <c r="E71" s="12">
        <v>31618</v>
      </c>
      <c r="F71" s="40"/>
      <c r="G71" s="12">
        <v>5979</v>
      </c>
      <c r="H71" s="40"/>
      <c r="I71" s="12">
        <v>9465</v>
      </c>
      <c r="J71" s="40"/>
      <c r="K71" s="12">
        <v>15594</v>
      </c>
      <c r="L71" s="40"/>
      <c r="M71" s="32">
        <v>580</v>
      </c>
      <c r="N71" s="4"/>
      <c r="O71" s="5"/>
      <c r="P71" s="5"/>
      <c r="Q71" s="5"/>
      <c r="R71" s="5"/>
      <c r="S71" s="4"/>
      <c r="T71" s="5"/>
      <c r="U71" s="4"/>
      <c r="V71" s="4"/>
      <c r="W71" s="4"/>
    </row>
    <row r="72" spans="3:23" ht="24" x14ac:dyDescent="0.3">
      <c r="C72" s="7"/>
      <c r="D72" s="4">
        <v>2001</v>
      </c>
      <c r="E72" s="12">
        <v>32286</v>
      </c>
      <c r="F72" s="40"/>
      <c r="G72" s="12">
        <v>6103</v>
      </c>
      <c r="H72" s="40"/>
      <c r="I72" s="12">
        <v>8701</v>
      </c>
      <c r="J72" s="40"/>
      <c r="K72" s="12">
        <v>16976</v>
      </c>
      <c r="L72" s="40"/>
      <c r="M72" s="32">
        <v>506</v>
      </c>
      <c r="N72" s="4"/>
      <c r="O72" s="5"/>
      <c r="P72" s="5"/>
      <c r="Q72" s="5"/>
      <c r="R72" s="5"/>
      <c r="S72" s="4"/>
      <c r="T72" s="5"/>
      <c r="U72" s="4"/>
      <c r="V72" s="4"/>
      <c r="W72" s="4"/>
    </row>
    <row r="73" spans="3:23" ht="24" x14ac:dyDescent="0.3">
      <c r="C73" s="7"/>
      <c r="D73" s="4">
        <v>2002</v>
      </c>
      <c r="E73" s="12">
        <v>32919</v>
      </c>
      <c r="F73" s="40"/>
      <c r="G73" s="12">
        <v>6862</v>
      </c>
      <c r="H73" s="40"/>
      <c r="I73" s="12">
        <v>8429</v>
      </c>
      <c r="J73" s="40"/>
      <c r="K73" s="12">
        <v>17168</v>
      </c>
      <c r="L73" s="40"/>
      <c r="M73" s="32">
        <v>460</v>
      </c>
      <c r="N73" s="4"/>
      <c r="O73" s="5"/>
      <c r="P73" s="5"/>
      <c r="Q73" s="5"/>
      <c r="R73" s="5"/>
      <c r="S73" s="4"/>
      <c r="T73" s="5"/>
      <c r="U73" s="4"/>
      <c r="V73" s="4"/>
      <c r="W73" s="4"/>
    </row>
    <row r="74" spans="3:23" ht="24" x14ac:dyDescent="0.3">
      <c r="C74" s="7"/>
      <c r="D74" s="4">
        <v>2003</v>
      </c>
      <c r="E74" s="12">
        <v>34289</v>
      </c>
      <c r="F74" s="40"/>
      <c r="G74" s="12">
        <v>7177</v>
      </c>
      <c r="H74" s="40"/>
      <c r="I74" s="12">
        <v>8361</v>
      </c>
      <c r="J74" s="40"/>
      <c r="K74" s="12">
        <v>18319</v>
      </c>
      <c r="L74" s="40"/>
      <c r="M74" s="32">
        <v>432</v>
      </c>
      <c r="N74" s="4"/>
      <c r="O74" s="5"/>
      <c r="P74" s="5"/>
      <c r="Q74" s="5"/>
      <c r="R74" s="5"/>
      <c r="S74" s="4"/>
      <c r="T74" s="5"/>
      <c r="U74" s="4"/>
      <c r="V74" s="4"/>
      <c r="W74" s="4"/>
    </row>
    <row r="75" spans="3:23" ht="24" x14ac:dyDescent="0.3">
      <c r="C75" s="7"/>
      <c r="D75" s="4">
        <v>2004</v>
      </c>
      <c r="E75" s="12">
        <v>33423</v>
      </c>
      <c r="F75" s="40"/>
      <c r="G75" s="12">
        <v>7980</v>
      </c>
      <c r="H75" s="40"/>
      <c r="I75" s="12">
        <v>7768</v>
      </c>
      <c r="J75" s="40"/>
      <c r="K75" s="12">
        <v>17300</v>
      </c>
      <c r="L75" s="40"/>
      <c r="M75" s="32">
        <v>375</v>
      </c>
      <c r="N75" s="4"/>
      <c r="O75" s="5"/>
      <c r="P75" s="5"/>
      <c r="Q75" s="5"/>
      <c r="R75" s="5"/>
      <c r="S75" s="4"/>
      <c r="T75" s="5"/>
      <c r="U75" s="4"/>
      <c r="V75" s="4"/>
      <c r="W75" s="4"/>
    </row>
    <row r="76" spans="3:23" ht="24" x14ac:dyDescent="0.3">
      <c r="C76" s="7"/>
      <c r="D76" s="4">
        <v>2005</v>
      </c>
      <c r="E76" s="12">
        <v>33288</v>
      </c>
      <c r="F76" s="40"/>
      <c r="G76" s="12">
        <v>8724</v>
      </c>
      <c r="H76" s="40"/>
      <c r="I76" s="12">
        <v>8176</v>
      </c>
      <c r="J76" s="40"/>
      <c r="K76" s="12">
        <v>16049</v>
      </c>
      <c r="L76" s="40"/>
      <c r="M76" s="32">
        <v>339</v>
      </c>
      <c r="N76" s="4"/>
      <c r="O76" s="5"/>
      <c r="P76" s="5"/>
      <c r="Q76" s="5"/>
      <c r="R76" s="5"/>
      <c r="S76" s="4"/>
      <c r="T76" s="5"/>
      <c r="U76" s="4"/>
      <c r="V76" s="4"/>
      <c r="W76" s="4"/>
    </row>
    <row r="77" spans="3:23" ht="24" x14ac:dyDescent="0.3">
      <c r="C77" s="7"/>
      <c r="D77" s="4">
        <v>2006</v>
      </c>
      <c r="E77" s="12">
        <v>36958</v>
      </c>
      <c r="F77" s="40"/>
      <c r="G77" s="12">
        <v>9756</v>
      </c>
      <c r="H77" s="40"/>
      <c r="I77" s="12">
        <v>9186</v>
      </c>
      <c r="J77" s="40"/>
      <c r="K77" s="12">
        <v>17644</v>
      </c>
      <c r="L77" s="40"/>
      <c r="M77" s="32">
        <v>372</v>
      </c>
      <c r="N77" s="4"/>
      <c r="O77" s="5"/>
      <c r="P77" s="5"/>
      <c r="Q77" s="5"/>
      <c r="R77" s="5"/>
      <c r="S77" s="4"/>
      <c r="T77" s="5"/>
      <c r="U77" s="4"/>
      <c r="V77" s="4"/>
      <c r="W77" s="4"/>
    </row>
    <row r="78" spans="3:23" ht="24" x14ac:dyDescent="0.3">
      <c r="C78" s="7"/>
      <c r="D78" s="4">
        <v>2007</v>
      </c>
      <c r="E78" s="12">
        <v>40925</v>
      </c>
      <c r="F78" s="40"/>
      <c r="G78" s="12">
        <v>11466</v>
      </c>
      <c r="H78" s="40"/>
      <c r="I78" s="12">
        <v>10768</v>
      </c>
      <c r="J78" s="40"/>
      <c r="K78" s="12">
        <v>18256</v>
      </c>
      <c r="L78" s="40"/>
      <c r="M78" s="32">
        <v>435</v>
      </c>
      <c r="N78" s="4"/>
      <c r="O78" s="5"/>
      <c r="P78" s="5"/>
      <c r="Q78" s="5"/>
      <c r="R78" s="5"/>
      <c r="S78" s="4"/>
      <c r="T78" s="5"/>
      <c r="U78" s="4"/>
      <c r="V78" s="4"/>
      <c r="W78" s="4"/>
    </row>
    <row r="79" spans="3:23" ht="24" x14ac:dyDescent="0.3">
      <c r="C79" s="7"/>
      <c r="D79" s="4">
        <v>2008</v>
      </c>
      <c r="E79" s="12">
        <v>46292</v>
      </c>
      <c r="F79" s="40"/>
      <c r="G79" s="12">
        <v>13500</v>
      </c>
      <c r="H79" s="40"/>
      <c r="I79" s="12">
        <v>12401</v>
      </c>
      <c r="J79" s="40"/>
      <c r="K79" s="12">
        <v>19945</v>
      </c>
      <c r="L79" s="40"/>
      <c r="M79" s="32">
        <v>446</v>
      </c>
      <c r="N79" s="4"/>
      <c r="O79" s="5"/>
      <c r="P79" s="5"/>
      <c r="Q79" s="5"/>
      <c r="R79" s="5"/>
      <c r="S79" s="4"/>
      <c r="T79" s="5"/>
      <c r="U79" s="4"/>
      <c r="V79" s="4"/>
      <c r="W79" s="4"/>
    </row>
    <row r="80" spans="3:23" ht="24" x14ac:dyDescent="0.3">
      <c r="C80" s="7"/>
      <c r="D80" s="4">
        <v>2009</v>
      </c>
      <c r="E80" s="12">
        <v>44832</v>
      </c>
      <c r="F80" s="40"/>
      <c r="G80" s="12">
        <v>13997</v>
      </c>
      <c r="H80" s="40"/>
      <c r="I80" s="12">
        <v>13066</v>
      </c>
      <c r="J80" s="40"/>
      <c r="K80" s="12">
        <v>17338</v>
      </c>
      <c r="L80" s="40"/>
      <c r="M80" s="32">
        <v>431</v>
      </c>
      <c r="N80" s="4"/>
      <c r="O80" s="5"/>
      <c r="P80" s="5"/>
      <c r="Q80" s="5"/>
      <c r="R80" s="5"/>
      <c r="S80" s="4"/>
      <c r="T80" s="5"/>
      <c r="U80" s="4"/>
      <c r="V80" s="4"/>
      <c r="W80" s="4"/>
    </row>
    <row r="81" spans="2:23" ht="24" x14ac:dyDescent="0.3">
      <c r="C81" s="7"/>
      <c r="D81" s="4">
        <v>2010</v>
      </c>
      <c r="E81" s="12">
        <v>45844</v>
      </c>
      <c r="F81" s="40"/>
      <c r="G81" s="12">
        <v>13774</v>
      </c>
      <c r="H81" s="40"/>
      <c r="I81" s="12">
        <v>13604</v>
      </c>
      <c r="J81" s="40"/>
      <c r="K81" s="12">
        <v>18079</v>
      </c>
      <c r="L81" s="40"/>
      <c r="M81" s="32">
        <v>387</v>
      </c>
      <c r="N81" s="4"/>
      <c r="O81" s="5"/>
      <c r="P81" s="5"/>
      <c r="Q81" s="5"/>
      <c r="R81" s="5"/>
      <c r="S81" s="4"/>
      <c r="T81" s="5"/>
      <c r="U81" s="4"/>
      <c r="V81" s="4"/>
      <c r="W81" s="4"/>
    </row>
    <row r="82" spans="2:23" ht="24" x14ac:dyDescent="0.3">
      <c r="C82" s="7"/>
      <c r="D82" s="4">
        <v>2011</v>
      </c>
      <c r="E82" s="12">
        <v>46040</v>
      </c>
      <c r="F82" s="40"/>
      <c r="G82" s="12">
        <v>13970</v>
      </c>
      <c r="H82" s="40"/>
      <c r="I82" s="12">
        <v>13136</v>
      </c>
      <c r="J82" s="40"/>
      <c r="K82" s="12">
        <v>18576</v>
      </c>
      <c r="L82" s="40"/>
      <c r="M82" s="32">
        <v>358</v>
      </c>
      <c r="N82" s="4"/>
      <c r="O82" s="5"/>
      <c r="P82" s="5"/>
      <c r="Q82" s="5"/>
      <c r="R82" s="5"/>
      <c r="S82" s="4"/>
      <c r="T82" s="5"/>
      <c r="U82" s="4"/>
      <c r="V82" s="4"/>
      <c r="W82" s="4"/>
    </row>
    <row r="83" spans="2:23" ht="24" x14ac:dyDescent="0.3">
      <c r="C83" s="7"/>
      <c r="D83" s="4">
        <v>2012</v>
      </c>
      <c r="E83" s="12">
        <v>49915</v>
      </c>
      <c r="F83" s="40"/>
      <c r="G83" s="12">
        <v>15667</v>
      </c>
      <c r="H83" s="40"/>
      <c r="I83" s="12">
        <v>14503</v>
      </c>
      <c r="J83" s="40"/>
      <c r="K83" s="12">
        <v>19411</v>
      </c>
      <c r="L83" s="40"/>
      <c r="M83" s="32">
        <v>334</v>
      </c>
      <c r="N83" s="4"/>
      <c r="O83" s="5"/>
      <c r="P83" s="5"/>
      <c r="Q83" s="5"/>
      <c r="R83" s="5"/>
      <c r="S83" s="4"/>
      <c r="T83" s="5"/>
      <c r="U83" s="4"/>
      <c r="V83" s="4"/>
      <c r="W83" s="4"/>
    </row>
    <row r="84" spans="2:23" ht="24" x14ac:dyDescent="0.3">
      <c r="C84" s="7"/>
      <c r="D84" s="4">
        <v>2013</v>
      </c>
      <c r="E84" s="12">
        <v>56485</v>
      </c>
      <c r="F84" s="40"/>
      <c r="G84" s="12">
        <v>17375</v>
      </c>
      <c r="H84" s="40"/>
      <c r="I84" s="12">
        <v>16929</v>
      </c>
      <c r="J84" s="40"/>
      <c r="K84" s="12">
        <v>21819</v>
      </c>
      <c r="L84" s="40"/>
      <c r="M84" s="32">
        <v>362</v>
      </c>
      <c r="N84" s="4"/>
      <c r="O84" s="5"/>
      <c r="P84" s="5"/>
      <c r="Q84" s="5"/>
      <c r="R84" s="5"/>
      <c r="S84" s="4"/>
      <c r="T84" s="5"/>
      <c r="U84" s="4"/>
      <c r="V84" s="4"/>
      <c r="W84" s="4"/>
    </row>
    <row r="85" spans="2:23" ht="24" x14ac:dyDescent="0.3">
      <c r="C85" s="7"/>
      <c r="D85" s="4">
        <v>2014</v>
      </c>
      <c r="E85" s="12">
        <v>63454</v>
      </c>
      <c r="F85" s="40"/>
      <c r="G85" s="12">
        <v>19999</v>
      </c>
      <c r="H85" s="40"/>
      <c r="I85" s="12">
        <v>19452</v>
      </c>
      <c r="J85" s="40"/>
      <c r="K85" s="12">
        <v>23541</v>
      </c>
      <c r="L85" s="40"/>
      <c r="M85" s="32">
        <v>462</v>
      </c>
      <c r="N85" s="4"/>
      <c r="O85" s="5"/>
      <c r="P85" s="5"/>
      <c r="Q85" s="5"/>
      <c r="R85" s="5"/>
      <c r="S85" s="4"/>
      <c r="T85" s="5"/>
      <c r="U85" s="4"/>
      <c r="V85" s="4"/>
      <c r="W85" s="4"/>
    </row>
    <row r="86" spans="2:23" ht="24" x14ac:dyDescent="0.3">
      <c r="C86" s="7"/>
      <c r="D86" s="4">
        <v>2015</v>
      </c>
      <c r="E86" s="12">
        <v>74709</v>
      </c>
      <c r="F86" s="41">
        <v>74215</v>
      </c>
      <c r="G86" s="12">
        <v>23872</v>
      </c>
      <c r="H86" s="41">
        <v>23872</v>
      </c>
      <c r="I86" s="12">
        <v>24173</v>
      </c>
      <c r="J86" s="41">
        <v>24173</v>
      </c>
      <c r="K86" s="12">
        <v>26170</v>
      </c>
      <c r="L86" s="41">
        <v>26170</v>
      </c>
      <c r="M86" s="32">
        <v>494</v>
      </c>
      <c r="N86" s="41">
        <v>495</v>
      </c>
      <c r="O86" s="5"/>
      <c r="P86" s="5"/>
      <c r="Q86" s="5"/>
      <c r="R86" s="5"/>
      <c r="S86" s="4"/>
      <c r="T86" s="5"/>
      <c r="U86" s="4"/>
      <c r="V86" s="4"/>
      <c r="W86" s="4"/>
    </row>
    <row r="87" spans="2:23" ht="24" x14ac:dyDescent="0.3">
      <c r="C87" s="7"/>
      <c r="D87" s="4">
        <v>2016</v>
      </c>
      <c r="E87" s="12">
        <v>88055</v>
      </c>
      <c r="F87" s="41">
        <v>87414</v>
      </c>
      <c r="G87" s="12">
        <v>27814</v>
      </c>
      <c r="H87" s="41">
        <v>27814</v>
      </c>
      <c r="I87" s="12">
        <v>28924</v>
      </c>
      <c r="J87" s="41">
        <v>28924</v>
      </c>
      <c r="K87" s="12">
        <v>30676</v>
      </c>
      <c r="L87" s="41">
        <v>30676</v>
      </c>
      <c r="M87" s="32">
        <v>641</v>
      </c>
      <c r="N87" s="41">
        <v>642</v>
      </c>
      <c r="O87" s="5"/>
      <c r="P87" s="5"/>
      <c r="Q87" s="5"/>
      <c r="R87" s="5"/>
      <c r="S87" s="4"/>
      <c r="T87" s="5"/>
      <c r="U87" s="4"/>
      <c r="V87" s="4"/>
      <c r="W87" s="4"/>
    </row>
    <row r="88" spans="2:23" ht="24" x14ac:dyDescent="0.3">
      <c r="C88" s="7"/>
      <c r="D88" s="4">
        <v>2017</v>
      </c>
      <c r="E88" s="12">
        <v>101591</v>
      </c>
      <c r="F88" s="41">
        <v>100649</v>
      </c>
      <c r="G88" s="12">
        <v>30644</v>
      </c>
      <c r="H88" s="41">
        <v>30644</v>
      </c>
      <c r="I88" s="12">
        <v>34013</v>
      </c>
      <c r="J88" s="41">
        <v>34013</v>
      </c>
      <c r="K88" s="12">
        <v>35992</v>
      </c>
      <c r="L88" s="41">
        <v>35992</v>
      </c>
      <c r="M88" s="32">
        <v>942</v>
      </c>
      <c r="N88" s="41">
        <v>951</v>
      </c>
      <c r="O88" s="5"/>
      <c r="P88" s="5"/>
      <c r="Q88" s="5"/>
      <c r="R88" s="5"/>
      <c r="S88" s="4"/>
      <c r="T88" s="5"/>
      <c r="U88" s="4"/>
      <c r="V88" s="4"/>
      <c r="W88" s="4"/>
    </row>
    <row r="89" spans="2:23" ht="24" x14ac:dyDescent="0.3">
      <c r="C89" s="7"/>
      <c r="D89" s="4">
        <v>2018</v>
      </c>
      <c r="E89" s="12">
        <v>115064</v>
      </c>
      <c r="F89" s="41">
        <v>113739</v>
      </c>
      <c r="G89" s="12">
        <v>35063</v>
      </c>
      <c r="H89" s="41">
        <v>35063</v>
      </c>
      <c r="I89" s="12">
        <v>38539</v>
      </c>
      <c r="J89" s="41">
        <v>38539</v>
      </c>
      <c r="K89" s="12">
        <v>40137</v>
      </c>
      <c r="L89" s="41">
        <v>40137</v>
      </c>
      <c r="M89" s="30">
        <v>1325</v>
      </c>
      <c r="N89" s="41">
        <v>1330</v>
      </c>
      <c r="O89" s="5"/>
      <c r="P89" s="5"/>
      <c r="Q89" s="5"/>
      <c r="R89" s="5"/>
      <c r="S89" s="4"/>
      <c r="T89" s="5"/>
      <c r="U89" s="4"/>
      <c r="V89" s="4"/>
      <c r="W89" s="4"/>
    </row>
    <row r="90" spans="2:23" ht="24" x14ac:dyDescent="0.3">
      <c r="C90" s="7"/>
      <c r="D90" s="4">
        <v>2019</v>
      </c>
      <c r="E90" s="12">
        <v>129825</v>
      </c>
      <c r="F90" s="41">
        <v>127943</v>
      </c>
      <c r="G90" s="12">
        <v>38992</v>
      </c>
      <c r="H90" s="41">
        <v>38992</v>
      </c>
      <c r="I90" s="12">
        <v>41655</v>
      </c>
      <c r="J90" s="41">
        <v>41655</v>
      </c>
      <c r="K90" s="12">
        <v>47296</v>
      </c>
      <c r="L90" s="41">
        <v>47296</v>
      </c>
      <c r="M90" s="30">
        <v>1882</v>
      </c>
      <c r="N90" s="41">
        <v>1888</v>
      </c>
      <c r="O90" s="5"/>
      <c r="P90" s="5"/>
      <c r="Q90" s="5"/>
      <c r="R90" s="5"/>
      <c r="S90" s="4"/>
      <c r="T90" s="5"/>
      <c r="U90" s="4"/>
      <c r="V90" s="4"/>
      <c r="W90" s="4"/>
    </row>
    <row r="91" spans="2:23" ht="24" x14ac:dyDescent="0.3">
      <c r="C91" s="7"/>
      <c r="D91" s="4">
        <v>2020</v>
      </c>
      <c r="E91" s="12">
        <v>133959</v>
      </c>
      <c r="F91" s="41">
        <v>131797</v>
      </c>
      <c r="G91" s="12">
        <v>41655</v>
      </c>
      <c r="H91" s="41">
        <v>41655</v>
      </c>
      <c r="I91" s="12">
        <v>43145</v>
      </c>
      <c r="J91" s="41">
        <v>43145</v>
      </c>
      <c r="K91" s="12">
        <v>46997</v>
      </c>
      <c r="L91" s="41">
        <v>46997</v>
      </c>
      <c r="M91" s="30">
        <v>2162</v>
      </c>
      <c r="N91" s="41">
        <v>2168</v>
      </c>
      <c r="O91" s="5"/>
      <c r="P91" s="5"/>
      <c r="Q91" s="5"/>
      <c r="R91" s="5"/>
      <c r="S91" s="4"/>
      <c r="T91" s="5"/>
      <c r="U91" s="4"/>
      <c r="V91" s="4"/>
      <c r="W91" s="4"/>
    </row>
    <row r="92" spans="2:23" ht="24" x14ac:dyDescent="0.3">
      <c r="C92" s="7"/>
      <c r="D92" s="4">
        <v>2021</v>
      </c>
      <c r="E92" s="12">
        <v>176733</v>
      </c>
      <c r="F92" s="41">
        <v>173858</v>
      </c>
      <c r="G92" s="12">
        <v>53767</v>
      </c>
      <c r="H92" s="41">
        <v>53767</v>
      </c>
      <c r="I92" s="12">
        <v>51830</v>
      </c>
      <c r="J92" s="41">
        <v>51830</v>
      </c>
      <c r="K92" s="12">
        <v>68261</v>
      </c>
      <c r="L92" s="41">
        <v>68261</v>
      </c>
      <c r="M92" s="30">
        <v>2875</v>
      </c>
      <c r="N92" s="41">
        <v>2886</v>
      </c>
      <c r="O92" s="5"/>
      <c r="P92" s="5"/>
      <c r="Q92" s="5"/>
      <c r="R92" s="5"/>
      <c r="S92" s="4"/>
      <c r="T92" s="5"/>
      <c r="U92" s="4"/>
      <c r="V92" s="4"/>
      <c r="W92" s="4"/>
    </row>
    <row r="93" spans="2:23" ht="24" x14ac:dyDescent="0.3">
      <c r="B93" s="2" t="s">
        <v>27</v>
      </c>
      <c r="C93" s="7"/>
      <c r="D93" s="8">
        <v>2022</v>
      </c>
      <c r="E93" s="13">
        <v>207269</v>
      </c>
      <c r="F93" s="41">
        <v>203500</v>
      </c>
      <c r="G93" s="13">
        <v>3769</v>
      </c>
      <c r="H93" s="41">
        <v>59016</v>
      </c>
      <c r="I93" s="13">
        <v>59016</v>
      </c>
      <c r="J93" s="41">
        <v>56913</v>
      </c>
      <c r="K93" s="13">
        <v>56913</v>
      </c>
      <c r="L93" s="41">
        <v>87571</v>
      </c>
      <c r="M93" s="34">
        <v>87571</v>
      </c>
      <c r="N93" s="41">
        <v>3773</v>
      </c>
      <c r="O93" s="9"/>
      <c r="P93" s="9"/>
      <c r="Q93" s="9"/>
      <c r="R93" s="9"/>
      <c r="S93" s="8"/>
      <c r="T93" s="9"/>
      <c r="U93" s="8"/>
      <c r="V93" s="8"/>
      <c r="W93" s="8"/>
    </row>
    <row r="94" spans="2:23" ht="24" x14ac:dyDescent="0.3">
      <c r="C94" s="7"/>
      <c r="D94" s="8">
        <v>2023</v>
      </c>
      <c r="E94" s="13">
        <v>209253</v>
      </c>
      <c r="F94" s="41">
        <v>205371</v>
      </c>
      <c r="G94" s="13">
        <v>3882</v>
      </c>
      <c r="H94" s="41">
        <v>53007</v>
      </c>
      <c r="I94" s="13">
        <v>53007</v>
      </c>
      <c r="J94" s="41">
        <v>53573</v>
      </c>
      <c r="K94" s="13">
        <v>53573</v>
      </c>
      <c r="L94" s="41">
        <v>98791</v>
      </c>
      <c r="M94" s="34">
        <v>98791</v>
      </c>
      <c r="N94" s="41">
        <v>3878</v>
      </c>
      <c r="O94" s="9"/>
      <c r="P94" s="9"/>
      <c r="Q94" s="9"/>
      <c r="R94" s="9"/>
      <c r="S94" s="8"/>
      <c r="T94" s="9"/>
      <c r="U94" s="8"/>
      <c r="V94" s="8"/>
      <c r="W94" s="8"/>
    </row>
    <row r="95" spans="2:23" ht="24" x14ac:dyDescent="0.3">
      <c r="B95" s="2" t="s">
        <v>28</v>
      </c>
      <c r="C95" s="7"/>
      <c r="D95" s="7">
        <v>2024</v>
      </c>
      <c r="E95" s="38"/>
      <c r="F95" s="41">
        <v>186301</v>
      </c>
      <c r="G95" s="38"/>
      <c r="H95" s="41">
        <v>41496</v>
      </c>
      <c r="I95" s="38"/>
      <c r="J95" s="41">
        <v>47539</v>
      </c>
      <c r="K95" s="38"/>
      <c r="L95" s="41">
        <v>97266</v>
      </c>
      <c r="M95" s="7"/>
      <c r="N95" s="41">
        <v>3941</v>
      </c>
    </row>
  </sheetData>
  <mergeCells count="11">
    <mergeCell ref="C1:I1"/>
    <mergeCell ref="D2:H2"/>
    <mergeCell ref="D3:H3"/>
    <mergeCell ref="E10:F10"/>
    <mergeCell ref="G10:H10"/>
    <mergeCell ref="I10:J10"/>
    <mergeCell ref="K10:L10"/>
    <mergeCell ref="M10:N10"/>
    <mergeCell ref="O10:S10"/>
    <mergeCell ref="T10:U10"/>
    <mergeCell ref="V10:W10"/>
  </mergeCells>
  <hyperlinks>
    <hyperlink ref="D2" r:id="rId1" xr:uid="{EEDAE3EA-4AC0-6C4A-8007-62832ADFB1A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recent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Parastu Kasaie</dc:creator>
  <cp:lastModifiedBy>Parastu Kasaie</cp:lastModifiedBy>
  <dcterms:created xsi:type="dcterms:W3CDTF">2024-08-02T12:24:47Z</dcterms:created>
  <dcterms:modified xsi:type="dcterms:W3CDTF">2026-01-08T16:57:41Z</dcterms:modified>
</cp:coreProperties>
</file>