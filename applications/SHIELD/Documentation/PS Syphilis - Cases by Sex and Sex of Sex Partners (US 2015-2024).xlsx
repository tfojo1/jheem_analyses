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pkasaie1_jh_edu/Documents/SHIELDR01/Simulation/code/jheem_analyses/applications/SHIELD/Documentation/"/>
    </mc:Choice>
  </mc:AlternateContent>
  <xr:revisionPtr revIDLastSave="104" documentId="13_ncr:1_{A0F7102C-F699-B042-A64E-207DB11C90FC}" xr6:coauthVersionLast="47" xr6:coauthVersionMax="47" xr10:uidLastSave="{4086FCA9-99F0-2E47-BF35-586696D0510F}"/>
  <bookViews>
    <workbookView xWindow="34560" yWindow="600" windowWidth="34560" windowHeight="19440" activeTab="2" xr2:uid="{00000000-000D-0000-FFFF-FFFF00000000}"/>
  </bookViews>
  <sheets>
    <sheet name="Data" sheetId="1" r:id="rId1"/>
    <sheet name="Sheet1" sheetId="3" r:id="rId2"/>
    <sheet name="Sheet4" sheetId="8" r:id="rId3"/>
    <sheet name="Sheet2" sheetId="6" r:id="rId4"/>
    <sheet name="Sheet3" sheetId="7" r:id="rId5"/>
    <sheet name="CA" sheetId="4" r:id="rId6"/>
  </sheets>
  <definedNames>
    <definedName name="_xlnm._FilterDatabase" localSheetId="1" hidden="1">Sheet1!$A$5:$H$59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6" l="1"/>
  <c r="A1" i="6"/>
  <c r="C61" i="3" l="1"/>
  <c r="B61" i="3"/>
  <c r="C60" i="3"/>
  <c r="B60" i="3"/>
  <c r="C59" i="3"/>
  <c r="B59" i="3"/>
  <c r="C58" i="3"/>
  <c r="B58" i="3"/>
  <c r="C57" i="3"/>
  <c r="E61" i="3" s="1"/>
  <c r="B57" i="3"/>
  <c r="D61" i="3" s="1"/>
  <c r="C56" i="3"/>
  <c r="E60" i="3" s="1"/>
  <c r="B56" i="3"/>
  <c r="D60" i="3" s="1"/>
  <c r="C55" i="3"/>
  <c r="B55" i="3"/>
  <c r="B54" i="3"/>
  <c r="C54" i="3"/>
  <c r="E59" i="3"/>
  <c r="D59" i="3"/>
  <c r="D58" i="3"/>
  <c r="E58" i="3"/>
  <c r="F58" i="3" s="1"/>
  <c r="C47" i="3"/>
  <c r="C46" i="3"/>
  <c r="C45" i="3"/>
  <c r="E45" i="3" s="1"/>
  <c r="F45" i="3" s="1"/>
  <c r="C44" i="3"/>
  <c r="C43" i="3"/>
  <c r="E47" i="3" s="1"/>
  <c r="F47" i="3" s="1"/>
  <c r="C42" i="3"/>
  <c r="C41" i="3"/>
  <c r="C40" i="3"/>
  <c r="D47" i="3"/>
  <c r="E46" i="3"/>
  <c r="F46" i="3" s="1"/>
  <c r="D46" i="3"/>
  <c r="D45" i="3"/>
  <c r="D44" i="3"/>
  <c r="F35" i="3"/>
  <c r="F34" i="3"/>
  <c r="F32" i="3"/>
  <c r="F31" i="3"/>
  <c r="F30" i="3"/>
  <c r="F29" i="3"/>
  <c r="E32" i="3"/>
  <c r="D32" i="3"/>
  <c r="E31" i="3"/>
  <c r="D31" i="3"/>
  <c r="E30" i="3"/>
  <c r="E29" i="3"/>
  <c r="D29" i="3"/>
  <c r="D30" i="3"/>
  <c r="G17" i="3"/>
  <c r="K5" i="4"/>
  <c r="L5" i="4"/>
  <c r="M5" i="4"/>
  <c r="K16" i="4"/>
  <c r="L16" i="4"/>
  <c r="M16" i="4"/>
  <c r="K28" i="4"/>
  <c r="L28" i="4"/>
  <c r="M28" i="4"/>
  <c r="K40" i="4"/>
  <c r="L40" i="4"/>
  <c r="M40" i="4"/>
  <c r="I15" i="3"/>
  <c r="I14" i="3"/>
  <c r="I13" i="3"/>
  <c r="I12" i="3"/>
  <c r="I11" i="3"/>
  <c r="I10" i="3"/>
  <c r="I9" i="3"/>
  <c r="I8" i="3"/>
  <c r="I7" i="3"/>
  <c r="I6" i="3"/>
  <c r="H15" i="3"/>
  <c r="H14" i="3"/>
  <c r="H13" i="3"/>
  <c r="H12" i="3"/>
  <c r="H11" i="3"/>
  <c r="H10" i="3"/>
  <c r="H9" i="3"/>
  <c r="H8" i="3"/>
  <c r="H7" i="3"/>
  <c r="H6" i="3"/>
  <c r="G15" i="3"/>
  <c r="G14" i="3"/>
  <c r="G13" i="3"/>
  <c r="G12" i="3"/>
  <c r="G11" i="3"/>
  <c r="G10" i="3"/>
  <c r="G9" i="3"/>
  <c r="G8" i="3"/>
  <c r="G7" i="3"/>
  <c r="G6" i="3"/>
  <c r="K2" i="1"/>
  <c r="J47" i="1"/>
  <c r="I47" i="1"/>
  <c r="H47" i="1"/>
  <c r="L47" i="1" s="1"/>
  <c r="G47" i="1"/>
  <c r="F47" i="1"/>
  <c r="K47" i="1" s="1"/>
  <c r="E47" i="1"/>
  <c r="J42" i="1"/>
  <c r="I42" i="1"/>
  <c r="H42" i="1"/>
  <c r="L42" i="1" s="1"/>
  <c r="G42" i="1"/>
  <c r="F42" i="1"/>
  <c r="K42" i="1" s="1"/>
  <c r="E42" i="1"/>
  <c r="J37" i="1"/>
  <c r="I37" i="1"/>
  <c r="H37" i="1"/>
  <c r="L37" i="1" s="1"/>
  <c r="G37" i="1"/>
  <c r="F37" i="1"/>
  <c r="K37" i="1" s="1"/>
  <c r="E37" i="1"/>
  <c r="J32" i="1"/>
  <c r="I32" i="1"/>
  <c r="H32" i="1"/>
  <c r="L32" i="1" s="1"/>
  <c r="G32" i="1"/>
  <c r="F32" i="1"/>
  <c r="K32" i="1" s="1"/>
  <c r="E32" i="1"/>
  <c r="J27" i="1"/>
  <c r="I27" i="1"/>
  <c r="H27" i="1"/>
  <c r="L27" i="1" s="1"/>
  <c r="G27" i="1"/>
  <c r="F27" i="1"/>
  <c r="K27" i="1" s="1"/>
  <c r="E27" i="1"/>
  <c r="J22" i="1"/>
  <c r="I22" i="1"/>
  <c r="H22" i="1"/>
  <c r="L22" i="1" s="1"/>
  <c r="G22" i="1"/>
  <c r="F22" i="1"/>
  <c r="K22" i="1" s="1"/>
  <c r="E22" i="1"/>
  <c r="J17" i="1"/>
  <c r="I17" i="1"/>
  <c r="H17" i="1"/>
  <c r="L17" i="1" s="1"/>
  <c r="G17" i="1"/>
  <c r="F17" i="1"/>
  <c r="K17" i="1" s="1"/>
  <c r="E17" i="1"/>
  <c r="J12" i="1"/>
  <c r="I12" i="1"/>
  <c r="H12" i="1"/>
  <c r="L12" i="1" s="1"/>
  <c r="G12" i="1"/>
  <c r="F12" i="1"/>
  <c r="K12" i="1" s="1"/>
  <c r="E12" i="1"/>
  <c r="J7" i="1"/>
  <c r="I7" i="1"/>
  <c r="H7" i="1"/>
  <c r="L7" i="1" s="1"/>
  <c r="G7" i="1"/>
  <c r="F7" i="1"/>
  <c r="K7" i="1" s="1"/>
  <c r="E7" i="1"/>
  <c r="L2" i="1"/>
  <c r="J2" i="1"/>
  <c r="I2" i="1"/>
  <c r="H2" i="1"/>
  <c r="G2" i="1"/>
  <c r="F2" i="1"/>
  <c r="E2" i="1"/>
  <c r="F61" i="3" l="1"/>
  <c r="F60" i="3"/>
  <c r="F59" i="3"/>
  <c r="F64" i="3"/>
  <c r="F63" i="3"/>
  <c r="E44" i="3"/>
  <c r="F44" i="3" s="1"/>
  <c r="F50" i="3" s="1"/>
  <c r="F49" i="3"/>
</calcChain>
</file>

<file path=xl/sharedStrings.xml><?xml version="1.0" encoding="utf-8"?>
<sst xmlns="http://schemas.openxmlformats.org/spreadsheetml/2006/main" count="250" uniqueCount="72">
  <si>
    <t>STI</t>
  </si>
  <si>
    <t>Year</t>
  </si>
  <si>
    <t>Sex and Sex of Sex Partners</t>
  </si>
  <si>
    <t>Cases</t>
  </si>
  <si>
    <t>Primary and secondary syphilis</t>
  </si>
  <si>
    <t>Men who have sex with men (MSM)</t>
  </si>
  <si>
    <t>Men who have sex with women only (MSW)</t>
  </si>
  <si>
    <t>Men with unknown sex of sex partners (MSU)</t>
  </si>
  <si>
    <t>Women</t>
  </si>
  <si>
    <t>Missing or unknown sex</t>
  </si>
  <si>
    <t>2024*</t>
  </si>
  <si>
    <t xml:space="preserve">* 2024 data are provisional as of August 14, 2025. </t>
  </si>
  <si>
    <t>MSM/(MSM+MSW)</t>
  </si>
  <si>
    <t>MSU/(MSM+MSW+MSU)</t>
  </si>
  <si>
    <t>Women/all</t>
  </si>
  <si>
    <t>Unknown</t>
  </si>
  <si>
    <t>Orientation Not Listed</t>
  </si>
  <si>
    <t>Heterosexual or Straight</t>
  </si>
  <si>
    <t>Gay, Lesbian, or Same-Gender Loving</t>
  </si>
  <si>
    <t>Bisexual</t>
  </si>
  <si>
    <t>Total</t>
  </si>
  <si>
    <t>Percentage</t>
  </si>
  <si>
    <t>Sexual Orientation</t>
  </si>
  <si>
    <t>Male Gender Identity, by Sexual Orientation, California, 2021</t>
  </si>
  <si>
    <t xml:space="preserve">Table PS-10.  Primary and Secondary Syphilis, Cases and Percentages among </t>
  </si>
  <si>
    <t>Gay</t>
  </si>
  <si>
    <t>Gay/Bisexual</t>
  </si>
  <si>
    <t>Male Gender Identity, by Sexual Orientation, California, 2022</t>
  </si>
  <si>
    <t>Male Gender Identity, by Sexual Orientation, California, 2023</t>
  </si>
  <si>
    <t xml:space="preserve">Table PS-4.  Primary and Secondary Syphilis, Cases and Percentages among </t>
  </si>
  <si>
    <t>Male Gender Identity, by Sexual Orientation, California, 2024</t>
  </si>
  <si>
    <t>Sexual orientation only reported since 2021</t>
  </si>
  <si>
    <t>https://www.cdph.ca.gov/Programs/CID/DCDC/Pages/STD-Data.aspx</t>
  </si>
  <si>
    <t>National</t>
  </si>
  <si>
    <t>CA State</t>
  </si>
  <si>
    <t>Gay/Bisexual (CA State)</t>
  </si>
  <si>
    <t>proportion of male diagnosis among MSM</t>
  </si>
  <si>
    <t>average</t>
  </si>
  <si>
    <t>5year ratio of diagnosis</t>
  </si>
  <si>
    <t>msm</t>
  </si>
  <si>
    <t>het male</t>
  </si>
  <si>
    <t>ROR=het/msm</t>
  </si>
  <si>
    <t>msm diagnosis</t>
  </si>
  <si>
    <t>het diagnosis</t>
  </si>
  <si>
    <t>mean</t>
  </si>
  <si>
    <t>stdev</t>
  </si>
  <si>
    <t>Coverage</t>
  </si>
  <si>
    <t>Effectiveness</t>
  </si>
  <si>
    <t>Number of diabetes diagnosis averted per 1,000 persons receiving intervention</t>
  </si>
  <si>
    <t>Black HET Women</t>
  </si>
  <si>
    <t>White HET Women</t>
  </si>
  <si>
    <t>Hispanic HET Women</t>
  </si>
  <si>
    <t>Black HET Men</t>
  </si>
  <si>
    <t>White HET Men</t>
  </si>
  <si>
    <t>Hispanic HET Men</t>
  </si>
  <si>
    <t>Black WWID</t>
  </si>
  <si>
    <t>White WWID</t>
  </si>
  <si>
    <t>Hispanic WWID</t>
  </si>
  <si>
    <t>Black MWID</t>
  </si>
  <si>
    <t>White MWID</t>
  </si>
  <si>
    <t>Hispanic MWID</t>
  </si>
  <si>
    <t>Black MSM</t>
  </si>
  <si>
    <t>White MSM</t>
  </si>
  <si>
    <t>Hispanic MSM</t>
  </si>
  <si>
    <t>50%%</t>
  </si>
  <si>
    <t>25%%</t>
  </si>
  <si>
    <t>Number of diabetes diagnosis averted</t>
  </si>
  <si>
    <t>Absolute Change from Baseline (75% effectiveness)</t>
  </si>
  <si>
    <t>Relative Change from Baseline (75% effectiveness)</t>
  </si>
  <si>
    <t>Absolute Change (75% effectiveness)</t>
  </si>
  <si>
    <t>Relative Change (75% effectiveness)</t>
  </si>
  <si>
    <t>75% (baseline)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</si>
</sst>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&quot; &quot;"/>
    <numFmt numFmtId="165" formatCode="#,##0&quot; &quot;"/>
    <numFmt numFmtId="166" formatCode="[$-F400]h:mm:ss\ AM/PM"/>
  </numFmts>
  <fonts count="2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3"/>
      <name val="Calibri"/>
      <family val="2"/>
    </font>
    <font>
      <b/>
      <sz val="16"/>
      <name val="Calibri"/>
      <family val="2"/>
    </font>
    <font>
      <sz val="10"/>
      <name val="MS Sans Serif"/>
    </font>
    <font>
      <sz val="12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E2841"/>
        <bgColor rgb="FF000000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dashed">
        <color rgb="FF000000"/>
      </bottom>
      <diagonal/>
    </border>
    <border>
      <left style="medium">
        <color indexed="64"/>
      </left>
      <right/>
      <top/>
      <bottom style="dash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BFBFBF"/>
      </bottom>
      <diagonal/>
    </border>
    <border>
      <left/>
      <right style="medium">
        <color rgb="FFBFBFBF"/>
      </right>
      <top style="medium">
        <color indexed="64"/>
      </top>
      <bottom style="medium">
        <color rgb="FFBFBFBF"/>
      </bottom>
      <diagonal/>
    </border>
    <border>
      <left style="medium">
        <color indexed="64"/>
      </left>
      <right style="medium">
        <color indexed="64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indexed="64"/>
      </right>
      <top/>
      <bottom style="medium">
        <color rgb="FFBFBFBF"/>
      </bottom>
      <diagonal/>
    </border>
    <border>
      <left style="medium">
        <color indexed="64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indexed="64"/>
      </right>
      <top style="medium">
        <color rgb="FFBFBFBF"/>
      </top>
      <bottom style="medium">
        <color rgb="FFBFBFBF"/>
      </bottom>
      <diagonal/>
    </border>
    <border>
      <left style="medium">
        <color indexed="64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indexed="64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0" fontId="12" fillId="0" borderId="0"/>
  </cellStyleXfs>
  <cellXfs count="73">
    <xf numFmtId="0" fontId="0" fillId="0" borderId="0" xfId="0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1" fillId="0" borderId="0" xfId="1"/>
    <xf numFmtId="164" fontId="5" fillId="0" borderId="2" xfId="1" applyNumberFormat="1" applyFont="1" applyBorder="1" applyAlignment="1">
      <alignment horizontal="right" vertical="center"/>
    </xf>
    <xf numFmtId="165" fontId="5" fillId="0" borderId="3" xfId="1" applyNumberFormat="1" applyFont="1" applyBorder="1" applyAlignment="1">
      <alignment horizontal="right" vertical="center"/>
    </xf>
    <xf numFmtId="164" fontId="5" fillId="0" borderId="3" xfId="1" applyNumberFormat="1" applyFont="1" applyBorder="1" applyAlignment="1">
      <alignment horizontal="left" vertical="center"/>
    </xf>
    <xf numFmtId="164" fontId="5" fillId="2" borderId="4" xfId="1" applyNumberFormat="1" applyFont="1" applyFill="1" applyBorder="1" applyAlignment="1">
      <alignment horizontal="right" vertical="center"/>
    </xf>
    <xf numFmtId="165" fontId="5" fillId="2" borderId="5" xfId="1" applyNumberFormat="1" applyFont="1" applyFill="1" applyBorder="1" applyAlignment="1">
      <alignment horizontal="right"/>
    </xf>
    <xf numFmtId="0" fontId="5" fillId="2" borderId="5" xfId="1" applyFont="1" applyFill="1" applyBorder="1" applyAlignment="1">
      <alignment vertical="center"/>
    </xf>
    <xf numFmtId="164" fontId="5" fillId="0" borderId="4" xfId="1" applyNumberFormat="1" applyFont="1" applyBorder="1" applyAlignment="1">
      <alignment horizontal="right" vertical="center"/>
    </xf>
    <xf numFmtId="165" fontId="5" fillId="0" borderId="5" xfId="1" applyNumberFormat="1" applyFont="1" applyBorder="1" applyAlignment="1">
      <alignment horizontal="right"/>
    </xf>
    <xf numFmtId="0" fontId="5" fillId="0" borderId="5" xfId="1" applyFont="1" applyBorder="1" applyAlignment="1">
      <alignment vertical="center"/>
    </xf>
    <xf numFmtId="0" fontId="6" fillId="0" borderId="5" xfId="1" applyFont="1" applyBorder="1" applyAlignment="1">
      <alignment vertical="center"/>
    </xf>
    <xf numFmtId="164" fontId="7" fillId="3" borderId="6" xfId="1" applyNumberFormat="1" applyFont="1" applyFill="1" applyBorder="1" applyAlignment="1">
      <alignment horizontal="right" vertical="center"/>
    </xf>
    <xf numFmtId="165" fontId="7" fillId="3" borderId="7" xfId="1" applyNumberFormat="1" applyFont="1" applyFill="1" applyBorder="1" applyAlignment="1">
      <alignment horizontal="right" vertical="center"/>
    </xf>
    <xf numFmtId="164" fontId="7" fillId="3" borderId="7" xfId="1" applyNumberFormat="1" applyFont="1" applyFill="1" applyBorder="1" applyAlignment="1">
      <alignment horizontal="left" vertical="center"/>
    </xf>
    <xf numFmtId="0" fontId="8" fillId="0" borderId="8" xfId="1" applyFont="1" applyBorder="1" applyAlignment="1">
      <alignment horizontal="center" vertical="center" wrapText="1"/>
    </xf>
    <xf numFmtId="166" fontId="8" fillId="0" borderId="9" xfId="1" applyNumberFormat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9" fillId="0" borderId="0" xfId="1" applyFont="1"/>
    <xf numFmtId="0" fontId="1" fillId="4" borderId="0" xfId="1" applyFill="1"/>
    <xf numFmtId="164" fontId="11" fillId="0" borderId="10" xfId="2" applyNumberFormat="1" applyFont="1" applyBorder="1" applyAlignment="1">
      <alignment horizontal="right" vertical="center"/>
    </xf>
    <xf numFmtId="165" fontId="11" fillId="0" borderId="2" xfId="2" applyNumberFormat="1" applyFont="1" applyBorder="1" applyAlignment="1">
      <alignment horizontal="right" vertical="center"/>
    </xf>
    <xf numFmtId="164" fontId="11" fillId="0" borderId="11" xfId="2" applyNumberFormat="1" applyFont="1" applyBorder="1" applyAlignment="1">
      <alignment horizontal="left" vertical="center"/>
    </xf>
    <xf numFmtId="164" fontId="11" fillId="0" borderId="12" xfId="2" applyNumberFormat="1" applyFont="1" applyBorder="1" applyAlignment="1">
      <alignment horizontal="right" vertical="center"/>
    </xf>
    <xf numFmtId="165" fontId="11" fillId="0" borderId="4" xfId="3" applyNumberFormat="1" applyFont="1" applyBorder="1" applyAlignment="1">
      <alignment horizontal="right"/>
    </xf>
    <xf numFmtId="0" fontId="11" fillId="0" borderId="0" xfId="3" applyFont="1" applyAlignment="1">
      <alignment vertical="center"/>
    </xf>
    <xf numFmtId="0" fontId="1" fillId="0" borderId="0" xfId="3" applyFont="1" applyAlignment="1">
      <alignment vertical="center"/>
    </xf>
    <xf numFmtId="164" fontId="13" fillId="5" borderId="12" xfId="2" applyNumberFormat="1" applyFont="1" applyFill="1" applyBorder="1" applyAlignment="1">
      <alignment horizontal="right" vertical="center"/>
    </xf>
    <xf numFmtId="165" fontId="13" fillId="5" borderId="4" xfId="2" applyNumberFormat="1" applyFont="1" applyFill="1" applyBorder="1" applyAlignment="1">
      <alignment horizontal="right" vertical="center"/>
    </xf>
    <xf numFmtId="164" fontId="13" fillId="5" borderId="0" xfId="2" applyNumberFormat="1" applyFont="1" applyFill="1" applyAlignment="1">
      <alignment horizontal="left" vertical="center"/>
    </xf>
    <xf numFmtId="0" fontId="14" fillId="0" borderId="13" xfId="2" applyFont="1" applyBorder="1" applyAlignment="1">
      <alignment horizontal="center" vertical="center" wrapText="1"/>
    </xf>
    <xf numFmtId="166" fontId="14" fillId="0" borderId="14" xfId="2" applyNumberFormat="1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 wrapText="1"/>
    </xf>
    <xf numFmtId="0" fontId="15" fillId="0" borderId="0" xfId="2" applyFont="1"/>
    <xf numFmtId="164" fontId="11" fillId="0" borderId="0" xfId="2" applyNumberFormat="1" applyFont="1" applyAlignment="1">
      <alignment horizontal="right" vertical="center"/>
    </xf>
    <xf numFmtId="164" fontId="11" fillId="0" borderId="0" xfId="2" applyNumberFormat="1" applyFont="1" applyAlignment="1">
      <alignment horizontal="left" vertical="center"/>
    </xf>
    <xf numFmtId="164" fontId="13" fillId="5" borderId="0" xfId="2" applyNumberFormat="1" applyFont="1" applyFill="1" applyAlignment="1">
      <alignment horizontal="right" vertical="center"/>
    </xf>
    <xf numFmtId="0" fontId="14" fillId="0" borderId="11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/>
    <xf numFmtId="0" fontId="17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8" xfId="0" applyFont="1" applyBorder="1" applyAlignment="1">
      <alignment vertical="center" wrapText="1"/>
    </xf>
    <xf numFmtId="0" fontId="4" fillId="7" borderId="18" xfId="0" applyFont="1" applyFill="1" applyBorder="1" applyAlignment="1">
      <alignment vertical="center" wrapText="1"/>
    </xf>
    <xf numFmtId="0" fontId="19" fillId="6" borderId="16" xfId="0" applyFont="1" applyFill="1" applyBorder="1" applyAlignment="1">
      <alignment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8" borderId="17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vertical="center" wrapText="1"/>
    </xf>
    <xf numFmtId="0" fontId="19" fillId="6" borderId="19" xfId="0" applyFont="1" applyFill="1" applyBorder="1" applyAlignment="1">
      <alignment horizontal="center" vertical="center" wrapText="1"/>
    </xf>
    <xf numFmtId="9" fontId="19" fillId="6" borderId="19" xfId="0" applyNumberFormat="1" applyFont="1" applyFill="1" applyBorder="1" applyAlignment="1">
      <alignment horizontal="center" vertical="center" wrapText="1"/>
    </xf>
    <xf numFmtId="9" fontId="19" fillId="6" borderId="20" xfId="0" applyNumberFormat="1" applyFont="1" applyFill="1" applyBorder="1" applyAlignment="1">
      <alignment horizontal="center" vertical="center" wrapText="1"/>
    </xf>
    <xf numFmtId="0" fontId="19" fillId="8" borderId="19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18" fillId="7" borderId="19" xfId="0" applyFont="1" applyFill="1" applyBorder="1" applyAlignment="1">
      <alignment horizontal="center" vertical="center" wrapText="1"/>
    </xf>
    <xf numFmtId="0" fontId="18" fillId="7" borderId="20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20" fillId="7" borderId="25" xfId="0" applyFont="1" applyFill="1" applyBorder="1" applyAlignment="1">
      <alignment horizontal="center" vertical="center" wrapText="1"/>
    </xf>
    <xf numFmtId="0" fontId="20" fillId="7" borderId="27" xfId="0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CEF284AC-7D5F-F345-B362-143224F6627F}"/>
    <cellStyle name="Normal 2 2" xfId="2" xr:uid="{31C6F330-0077-7B42-9670-0CDC7B6C89E8}"/>
    <cellStyle name="Normal 2 2 2" xfId="3" xr:uid="{2BAE9F25-E487-284A-83CF-E2CC0FD01C0D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#,##0.0&quot; &quot;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#,##0&quot; &quot;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medium">
          <color auto="1"/>
        </bottom>
      </border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</dxfs>
  <tableStyles count="1" defaultTableStyle="TableStyleMedium2" defaultPivotStyle="PivotStyleLight16">
    <tableStyle name="STD 5-yr" pivot="0" count="2" xr9:uid="{2AB873FA-CC9C-6A4C-A114-6DE2FCB8C75A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 male syphilis diagnosis among MSM,</a:t>
            </a:r>
            <a:r>
              <a:rPr lang="en-US" baseline="0"/>
              <a:t> US</a:t>
            </a:r>
            <a:endParaRPr lang="en-US"/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2015-2024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Sheet1!$G$5</c:f>
              <c:strCache>
                <c:ptCount val="1"/>
                <c:pt idx="0">
                  <c:v>MSM/(MSM+MSW)</c:v>
                </c:pt>
              </c:strCache>
            </c:strRef>
          </c:tx>
          <c:marker>
            <c:symbol val="none"/>
          </c:marker>
          <c:cat>
            <c:strRef>
              <c:f>Sheet1!$A$6:$A$15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2024*</c:v>
                </c:pt>
              </c:strCache>
            </c:strRef>
          </c:cat>
          <c:val>
            <c:numRef>
              <c:f>Sheet1!$G$6:$G$15</c:f>
              <c:numCache>
                <c:formatCode>General</c:formatCode>
                <c:ptCount val="10"/>
                <c:pt idx="0">
                  <c:v>0.81742976963290626</c:v>
                </c:pt>
                <c:pt idx="1">
                  <c:v>0.80633890691290244</c:v>
                </c:pt>
                <c:pt idx="2">
                  <c:v>0.79590737749057616</c:v>
                </c:pt>
                <c:pt idx="3">
                  <c:v>0.77597617471872937</c:v>
                </c:pt>
                <c:pt idx="4">
                  <c:v>0.71604986365407086</c:v>
                </c:pt>
                <c:pt idx="5">
                  <c:v>0.69727191586790327</c:v>
                </c:pt>
                <c:pt idx="6">
                  <c:v>0.6313491151459435</c:v>
                </c:pt>
                <c:pt idx="7">
                  <c:v>0.59958636813236221</c:v>
                </c:pt>
                <c:pt idx="8">
                  <c:v>0.57463527851458884</c:v>
                </c:pt>
                <c:pt idx="9">
                  <c:v>0.57352547514946017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58-594D-882A-402283403D4B}"/>
            </c:ext>
          </c:extLst>
        </c:ser>
        <c:ser>
          <c:idx val="3"/>
          <c:order val="1"/>
          <c:tx>
            <c:strRef>
              <c:f>Sheet1!$H$5</c:f>
              <c:strCache>
                <c:ptCount val="1"/>
                <c:pt idx="0">
                  <c:v>MSU/(MSM+MSW+MSU)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Sheet1!$A$6:$A$15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2024*</c:v>
                </c:pt>
              </c:strCache>
            </c:strRef>
          </c:cat>
          <c:val>
            <c:numRef>
              <c:f>Sheet1!$H$6:$H$15</c:f>
              <c:numCache>
                <c:formatCode>General</c:formatCode>
                <c:ptCount val="10"/>
                <c:pt idx="0">
                  <c:v>0.19213811667517519</c:v>
                </c:pt>
                <c:pt idx="1">
                  <c:v>0.18965377770587283</c:v>
                </c:pt>
                <c:pt idx="2">
                  <c:v>0.171136321368793</c:v>
                </c:pt>
                <c:pt idx="3">
                  <c:v>0.19504561496970099</c:v>
                </c:pt>
                <c:pt idx="4">
                  <c:v>0.20776495278069254</c:v>
                </c:pt>
                <c:pt idx="5">
                  <c:v>0.23411401058075254</c:v>
                </c:pt>
                <c:pt idx="6">
                  <c:v>0.26341628576265447</c:v>
                </c:pt>
                <c:pt idx="7">
                  <c:v>0.24703784784129634</c:v>
                </c:pt>
                <c:pt idx="8">
                  <c:v>0.23037664591201387</c:v>
                </c:pt>
                <c:pt idx="9">
                  <c:v>0.2421301775147929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58-594D-882A-402283403D4B}"/>
            </c:ext>
          </c:extLst>
        </c:ser>
        <c:ser>
          <c:idx val="1"/>
          <c:order val="2"/>
          <c:tx>
            <c:strRef>
              <c:f>Sheet1!$N$5</c:f>
              <c:strCache>
                <c:ptCount val="1"/>
                <c:pt idx="0">
                  <c:v>Gay/Bisexual (CA State)</c:v>
                </c:pt>
              </c:strCache>
            </c:strRef>
          </c:tx>
          <c:spPr>
            <a:ln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ymbol val="square"/>
            <c:size val="7"/>
          </c:marker>
          <c:cat>
            <c:strRef>
              <c:f>Sheet1!$A$6:$A$15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2024*</c:v>
                </c:pt>
              </c:strCache>
            </c:strRef>
          </c:cat>
          <c:val>
            <c:numRef>
              <c:f>Sheet1!$N$6:$N$15</c:f>
              <c:numCache>
                <c:formatCode>General</c:formatCode>
                <c:ptCount val="10"/>
                <c:pt idx="6">
                  <c:v>0.66623600344530576</c:v>
                </c:pt>
                <c:pt idx="7">
                  <c:v>0.62687927107061503</c:v>
                </c:pt>
                <c:pt idx="8">
                  <c:v>0.65831556503198296</c:v>
                </c:pt>
                <c:pt idx="9">
                  <c:v>0.63421052631578945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58-594D-882A-402283403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872448"/>
        <c:axId val="990874240"/>
      </c:lineChart>
      <c:catAx>
        <c:axId val="99087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74240"/>
        <c:crosses val="autoZero"/>
        <c:auto val="1"/>
        <c:lblAlgn val="ctr"/>
        <c:lblOffset val="100"/>
        <c:noMultiLvlLbl val="0"/>
      </c:catAx>
      <c:valAx>
        <c:axId val="99087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7244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16</xdr:row>
      <xdr:rowOff>50800</xdr:rowOff>
    </xdr:from>
    <xdr:to>
      <xdr:col>19</xdr:col>
      <xdr:colOff>38100</xdr:colOff>
      <xdr:row>38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E7A4C-9BCA-F336-50A7-EA578A3A9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E23E6-8EB3-8B48-82F9-DBA4E9BE76CD}" name="Table7" displayName="Table7" ref="B7:D13" totalsRowShown="0" headerRowBorderDxfId="4" tableBorderDxfId="3">
  <tableColumns count="3">
    <tableColumn id="1" xr3:uid="{62EABEF4-09B3-904E-8B40-011A76A2696D}" name="Sexual Orientation" dataDxfId="2" dataCellStyle="Normal 2 2"/>
    <tableColumn id="2" xr3:uid="{4D2E2681-9CE3-6044-888E-6C8FC434D600}" name="Cases" dataDxfId="1" dataCellStyle="Normal 2 2"/>
    <tableColumn id="3" xr3:uid="{5215EB3C-122F-3645-95F0-DD4358E2D1E0}" name="Percentage" dataDxfId="0" dataCellStyle="Normal 2"/>
  </tableColumns>
  <tableStyleInfo name="STD 5-yr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zoomScale="93" workbookViewId="0">
      <selection activeCell="B2" sqref="B2"/>
    </sheetView>
  </sheetViews>
  <sheetFormatPr baseColWidth="10" defaultColWidth="11.5" defaultRowHeight="15"/>
  <cols>
    <col min="1" max="1" width="30.6640625" customWidth="1"/>
    <col min="2" max="2" width="7.6640625" customWidth="1"/>
    <col min="3" max="3" width="42.6640625" customWidth="1"/>
    <col min="4" max="4" width="7.6640625" customWidth="1"/>
    <col min="5" max="10" width="9.5" customWidth="1"/>
  </cols>
  <sheetData>
    <row r="1" spans="1:12" s="4" customFormat="1" ht="96">
      <c r="A1" s="2" t="s">
        <v>0</v>
      </c>
      <c r="B1" s="2" t="s">
        <v>1</v>
      </c>
      <c r="C1" s="2" t="s">
        <v>2</v>
      </c>
      <c r="D1" s="2" t="s">
        <v>3</v>
      </c>
      <c r="E1" s="3" t="s">
        <v>1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12</v>
      </c>
      <c r="L1" s="4" t="s">
        <v>13</v>
      </c>
    </row>
    <row r="2" spans="1:12">
      <c r="A2" t="s">
        <v>4</v>
      </c>
      <c r="B2">
        <v>2015</v>
      </c>
      <c r="C2" t="s">
        <v>5</v>
      </c>
      <c r="D2">
        <v>14229</v>
      </c>
      <c r="E2">
        <f>B2</f>
        <v>2015</v>
      </c>
      <c r="F2">
        <f>D2</f>
        <v>14229</v>
      </c>
      <c r="G2">
        <f>D3</f>
        <v>3178</v>
      </c>
      <c r="H2">
        <f>D4</f>
        <v>4140</v>
      </c>
      <c r="I2">
        <f>D5</f>
        <v>2298</v>
      </c>
      <c r="J2">
        <f>D6</f>
        <v>27</v>
      </c>
      <c r="K2">
        <f>F2/SUM(F2:G2)</f>
        <v>0.81742976963290626</v>
      </c>
      <c r="L2">
        <f>H2/SUM(F2:H2)</f>
        <v>0.19213811667517519</v>
      </c>
    </row>
    <row r="3" spans="1:12">
      <c r="A3" t="s">
        <v>4</v>
      </c>
      <c r="B3">
        <v>2015</v>
      </c>
      <c r="C3" t="s">
        <v>6</v>
      </c>
      <c r="D3">
        <v>3178</v>
      </c>
    </row>
    <row r="4" spans="1:12">
      <c r="A4" t="s">
        <v>4</v>
      </c>
      <c r="B4">
        <v>2015</v>
      </c>
      <c r="C4" t="s">
        <v>7</v>
      </c>
      <c r="D4">
        <v>4140</v>
      </c>
    </row>
    <row r="5" spans="1:12">
      <c r="A5" t="s">
        <v>4</v>
      </c>
      <c r="B5">
        <v>2015</v>
      </c>
      <c r="C5" t="s">
        <v>8</v>
      </c>
      <c r="D5">
        <v>2298</v>
      </c>
    </row>
    <row r="6" spans="1:12">
      <c r="A6" t="s">
        <v>4</v>
      </c>
      <c r="B6">
        <v>2015</v>
      </c>
      <c r="C6" t="s">
        <v>9</v>
      </c>
      <c r="D6">
        <v>27</v>
      </c>
    </row>
    <row r="7" spans="1:12">
      <c r="A7" t="s">
        <v>4</v>
      </c>
      <c r="B7">
        <v>2016</v>
      </c>
      <c r="C7" t="s">
        <v>5</v>
      </c>
      <c r="D7">
        <v>16155</v>
      </c>
      <c r="E7">
        <f t="shared" ref="E7" si="0">B7</f>
        <v>2016</v>
      </c>
      <c r="F7">
        <f t="shared" ref="F7" si="1">D7</f>
        <v>16155</v>
      </c>
      <c r="G7">
        <f t="shared" ref="G7" si="2">D8</f>
        <v>3880</v>
      </c>
      <c r="H7">
        <f t="shared" ref="H7" si="3">D9</f>
        <v>4689</v>
      </c>
      <c r="I7">
        <f t="shared" ref="I7" si="4">D10</f>
        <v>3049</v>
      </c>
      <c r="J7">
        <f t="shared" ref="J7" si="5">D11</f>
        <v>41</v>
      </c>
      <c r="K7">
        <f t="shared" ref="K7" si="6">F7/SUM(G7:H7)</f>
        <v>1.8852841638464231</v>
      </c>
      <c r="L7">
        <f t="shared" ref="L7" si="7">H7/SUM(F7:H7)</f>
        <v>0.18965377770587283</v>
      </c>
    </row>
    <row r="8" spans="1:12">
      <c r="A8" t="s">
        <v>4</v>
      </c>
      <c r="B8">
        <v>2016</v>
      </c>
      <c r="C8" t="s">
        <v>6</v>
      </c>
      <c r="D8">
        <v>3880</v>
      </c>
    </row>
    <row r="9" spans="1:12">
      <c r="A9" t="s">
        <v>4</v>
      </c>
      <c r="B9">
        <v>2016</v>
      </c>
      <c r="C9" t="s">
        <v>7</v>
      </c>
      <c r="D9">
        <v>4689</v>
      </c>
    </row>
    <row r="10" spans="1:12">
      <c r="A10" t="s">
        <v>4</v>
      </c>
      <c r="B10">
        <v>2016</v>
      </c>
      <c r="C10" t="s">
        <v>8</v>
      </c>
      <c r="D10">
        <v>3049</v>
      </c>
    </row>
    <row r="11" spans="1:12">
      <c r="A11" t="s">
        <v>4</v>
      </c>
      <c r="B11">
        <v>2016</v>
      </c>
      <c r="C11" t="s">
        <v>9</v>
      </c>
      <c r="D11">
        <v>41</v>
      </c>
    </row>
    <row r="12" spans="1:12">
      <c r="A12" t="s">
        <v>4</v>
      </c>
      <c r="B12">
        <v>2017</v>
      </c>
      <c r="C12" t="s">
        <v>5</v>
      </c>
      <c r="D12">
        <v>17736</v>
      </c>
      <c r="E12">
        <f t="shared" ref="E12" si="8">B12</f>
        <v>2017</v>
      </c>
      <c r="F12">
        <f t="shared" ref="F12" si="9">D12</f>
        <v>17736</v>
      </c>
      <c r="G12">
        <f t="shared" ref="G12" si="10">D13</f>
        <v>4548</v>
      </c>
      <c r="H12">
        <f t="shared" ref="H12" si="11">D14</f>
        <v>4601</v>
      </c>
      <c r="I12">
        <f t="shared" ref="I12" si="12">D15</f>
        <v>3722</v>
      </c>
      <c r="J12">
        <f t="shared" ref="J12" si="13">D16</f>
        <v>37</v>
      </c>
      <c r="K12">
        <f t="shared" ref="K12" si="14">F12/SUM(G12:H12)</f>
        <v>1.9385725215870586</v>
      </c>
      <c r="L12">
        <f t="shared" ref="L12" si="15">H12/SUM(F12:H12)</f>
        <v>0.171136321368793</v>
      </c>
    </row>
    <row r="13" spans="1:12">
      <c r="A13" t="s">
        <v>4</v>
      </c>
      <c r="B13">
        <v>2017</v>
      </c>
      <c r="C13" t="s">
        <v>6</v>
      </c>
      <c r="D13">
        <v>4548</v>
      </c>
    </row>
    <row r="14" spans="1:12">
      <c r="A14" t="s">
        <v>4</v>
      </c>
      <c r="B14">
        <v>2017</v>
      </c>
      <c r="C14" t="s">
        <v>7</v>
      </c>
      <c r="D14">
        <v>4601</v>
      </c>
    </row>
    <row r="15" spans="1:12">
      <c r="A15" t="s">
        <v>4</v>
      </c>
      <c r="B15">
        <v>2017</v>
      </c>
      <c r="C15" t="s">
        <v>8</v>
      </c>
      <c r="D15">
        <v>3722</v>
      </c>
    </row>
    <row r="16" spans="1:12">
      <c r="A16" t="s">
        <v>4</v>
      </c>
      <c r="B16">
        <v>2017</v>
      </c>
      <c r="C16" t="s">
        <v>9</v>
      </c>
      <c r="D16">
        <v>37</v>
      </c>
    </row>
    <row r="17" spans="1:12">
      <c r="A17" t="s">
        <v>4</v>
      </c>
      <c r="B17">
        <v>2018</v>
      </c>
      <c r="C17" t="s">
        <v>5</v>
      </c>
      <c r="D17">
        <v>18760</v>
      </c>
      <c r="E17">
        <f t="shared" ref="E17" si="16">B17</f>
        <v>2018</v>
      </c>
      <c r="F17">
        <f t="shared" ref="F17" si="17">D17</f>
        <v>18760</v>
      </c>
      <c r="G17">
        <f t="shared" ref="G17" si="18">D18</f>
        <v>5416</v>
      </c>
      <c r="H17">
        <f t="shared" ref="H17" si="19">D19</f>
        <v>5858</v>
      </c>
      <c r="I17">
        <f t="shared" ref="I17" si="20">D20</f>
        <v>4995</v>
      </c>
      <c r="J17">
        <f t="shared" ref="J17" si="21">D21</f>
        <v>34</v>
      </c>
      <c r="K17">
        <f t="shared" ref="K17" si="22">F17/SUM(G17:H17)</f>
        <v>1.6640056767784281</v>
      </c>
      <c r="L17">
        <f t="shared" ref="L17" si="23">H17/SUM(F17:H17)</f>
        <v>0.19504561496970099</v>
      </c>
    </row>
    <row r="18" spans="1:12">
      <c r="A18" t="s">
        <v>4</v>
      </c>
      <c r="B18">
        <v>2018</v>
      </c>
      <c r="C18" t="s">
        <v>6</v>
      </c>
      <c r="D18">
        <v>5416</v>
      </c>
    </row>
    <row r="19" spans="1:12">
      <c r="A19" t="s">
        <v>4</v>
      </c>
      <c r="B19">
        <v>2018</v>
      </c>
      <c r="C19" t="s">
        <v>7</v>
      </c>
      <c r="D19">
        <v>5858</v>
      </c>
    </row>
    <row r="20" spans="1:12">
      <c r="A20" t="s">
        <v>4</v>
      </c>
      <c r="B20">
        <v>2018</v>
      </c>
      <c r="C20" t="s">
        <v>8</v>
      </c>
      <c r="D20">
        <v>4995</v>
      </c>
    </row>
    <row r="21" spans="1:12">
      <c r="A21" t="s">
        <v>4</v>
      </c>
      <c r="B21">
        <v>2018</v>
      </c>
      <c r="C21" t="s">
        <v>9</v>
      </c>
      <c r="D21">
        <v>34</v>
      </c>
    </row>
    <row r="22" spans="1:12">
      <c r="A22" t="s">
        <v>4</v>
      </c>
      <c r="B22">
        <v>2019</v>
      </c>
      <c r="C22" t="s">
        <v>5</v>
      </c>
      <c r="D22">
        <v>18381</v>
      </c>
      <c r="E22">
        <f t="shared" ref="E22" si="24">B22</f>
        <v>2019</v>
      </c>
      <c r="F22">
        <f t="shared" ref="F22" si="25">D22</f>
        <v>18381</v>
      </c>
      <c r="G22">
        <f t="shared" ref="G22" si="26">D23</f>
        <v>7289</v>
      </c>
      <c r="H22">
        <f t="shared" ref="H22" si="27">D24</f>
        <v>6732</v>
      </c>
      <c r="I22">
        <f t="shared" ref="I22" si="28">D25</f>
        <v>6493</v>
      </c>
      <c r="J22">
        <f t="shared" ref="J22" si="29">D26</f>
        <v>97</v>
      </c>
      <c r="K22">
        <f t="shared" ref="K22" si="30">F22/SUM(G22:H22)</f>
        <v>1.3109621282362172</v>
      </c>
      <c r="L22">
        <f t="shared" ref="L22" si="31">H22/SUM(F22:H22)</f>
        <v>0.20776495278069254</v>
      </c>
    </row>
    <row r="23" spans="1:12">
      <c r="A23" t="s">
        <v>4</v>
      </c>
      <c r="B23">
        <v>2019</v>
      </c>
      <c r="C23" t="s">
        <v>6</v>
      </c>
      <c r="D23">
        <v>7289</v>
      </c>
    </row>
    <row r="24" spans="1:12">
      <c r="A24" t="s">
        <v>4</v>
      </c>
      <c r="B24">
        <v>2019</v>
      </c>
      <c r="C24" t="s">
        <v>7</v>
      </c>
      <c r="D24">
        <v>6732</v>
      </c>
    </row>
    <row r="25" spans="1:12">
      <c r="A25" t="s">
        <v>4</v>
      </c>
      <c r="B25">
        <v>2019</v>
      </c>
      <c r="C25" t="s">
        <v>8</v>
      </c>
      <c r="D25">
        <v>6493</v>
      </c>
    </row>
    <row r="26" spans="1:12">
      <c r="A26" t="s">
        <v>4</v>
      </c>
      <c r="B26">
        <v>2019</v>
      </c>
      <c r="C26" t="s">
        <v>9</v>
      </c>
      <c r="D26">
        <v>97</v>
      </c>
    </row>
    <row r="27" spans="1:12">
      <c r="A27" t="s">
        <v>4</v>
      </c>
      <c r="B27">
        <v>2020</v>
      </c>
      <c r="C27" t="s">
        <v>5</v>
      </c>
      <c r="D27">
        <v>17968</v>
      </c>
      <c r="E27">
        <f t="shared" ref="E27" si="32">B27</f>
        <v>2020</v>
      </c>
      <c r="F27">
        <f t="shared" ref="F27" si="33">D27</f>
        <v>17968</v>
      </c>
      <c r="G27">
        <f t="shared" ref="G27" si="34">D28</f>
        <v>7801</v>
      </c>
      <c r="H27">
        <f t="shared" ref="H27" si="35">D29</f>
        <v>7877</v>
      </c>
      <c r="I27">
        <f t="shared" ref="I27" si="36">D30</f>
        <v>7901</v>
      </c>
      <c r="J27">
        <f t="shared" ref="J27" si="37">D31</f>
        <v>108</v>
      </c>
      <c r="K27">
        <f t="shared" ref="K27" si="38">F27/SUM(G27:H27)</f>
        <v>1.1460645490496237</v>
      </c>
      <c r="L27">
        <f t="shared" ref="L27" si="39">H27/SUM(F27:H27)</f>
        <v>0.23411401058075254</v>
      </c>
    </row>
    <row r="28" spans="1:12">
      <c r="A28" t="s">
        <v>4</v>
      </c>
      <c r="B28">
        <v>2020</v>
      </c>
      <c r="C28" t="s">
        <v>6</v>
      </c>
      <c r="D28">
        <v>7801</v>
      </c>
    </row>
    <row r="29" spans="1:12">
      <c r="A29" t="s">
        <v>4</v>
      </c>
      <c r="B29">
        <v>2020</v>
      </c>
      <c r="C29" t="s">
        <v>7</v>
      </c>
      <c r="D29">
        <v>7877</v>
      </c>
    </row>
    <row r="30" spans="1:12">
      <c r="A30" t="s">
        <v>4</v>
      </c>
      <c r="B30">
        <v>2020</v>
      </c>
      <c r="C30" t="s">
        <v>8</v>
      </c>
      <c r="D30">
        <v>7901</v>
      </c>
    </row>
    <row r="31" spans="1:12">
      <c r="A31" t="s">
        <v>4</v>
      </c>
      <c r="B31">
        <v>2020</v>
      </c>
      <c r="C31" t="s">
        <v>9</v>
      </c>
      <c r="D31">
        <v>108</v>
      </c>
    </row>
    <row r="32" spans="1:12">
      <c r="A32" t="s">
        <v>4</v>
      </c>
      <c r="B32">
        <v>2021</v>
      </c>
      <c r="C32" t="s">
        <v>5</v>
      </c>
      <c r="D32">
        <v>19229</v>
      </c>
      <c r="E32">
        <f t="shared" ref="E32" si="40">B32</f>
        <v>2021</v>
      </c>
      <c r="F32">
        <f t="shared" ref="F32" si="41">D32</f>
        <v>19229</v>
      </c>
      <c r="G32">
        <f t="shared" ref="G32" si="42">D33</f>
        <v>11228</v>
      </c>
      <c r="H32">
        <f t="shared" ref="H32" si="43">D34</f>
        <v>10892</v>
      </c>
      <c r="I32">
        <f t="shared" ref="I32" si="44">D35</f>
        <v>12265</v>
      </c>
      <c r="J32">
        <f t="shared" ref="J32" si="45">D36</f>
        <v>153</v>
      </c>
      <c r="K32">
        <f t="shared" ref="K32" si="46">F32/SUM(G32:H32)</f>
        <v>0.8693037974683544</v>
      </c>
      <c r="L32">
        <f t="shared" ref="L32" si="47">H32/SUM(F32:H32)</f>
        <v>0.26341628576265447</v>
      </c>
    </row>
    <row r="33" spans="1:12">
      <c r="A33" t="s">
        <v>4</v>
      </c>
      <c r="B33">
        <v>2021</v>
      </c>
      <c r="C33" t="s">
        <v>6</v>
      </c>
      <c r="D33">
        <v>11228</v>
      </c>
    </row>
    <row r="34" spans="1:12">
      <c r="A34" t="s">
        <v>4</v>
      </c>
      <c r="B34">
        <v>2021</v>
      </c>
      <c r="C34" t="s">
        <v>7</v>
      </c>
      <c r="D34">
        <v>10892</v>
      </c>
    </row>
    <row r="35" spans="1:12">
      <c r="A35" t="s">
        <v>4</v>
      </c>
      <c r="B35">
        <v>2021</v>
      </c>
      <c r="C35" t="s">
        <v>8</v>
      </c>
      <c r="D35">
        <v>12265</v>
      </c>
    </row>
    <row r="36" spans="1:12">
      <c r="A36" t="s">
        <v>4</v>
      </c>
      <c r="B36">
        <v>2021</v>
      </c>
      <c r="C36" t="s">
        <v>9</v>
      </c>
      <c r="D36">
        <v>153</v>
      </c>
    </row>
    <row r="37" spans="1:12">
      <c r="A37" t="s">
        <v>4</v>
      </c>
      <c r="B37">
        <v>2022</v>
      </c>
      <c r="C37" t="s">
        <v>5</v>
      </c>
      <c r="D37">
        <v>20004</v>
      </c>
      <c r="E37">
        <f t="shared" ref="E37" si="48">B37</f>
        <v>2022</v>
      </c>
      <c r="F37">
        <f t="shared" ref="F37" si="49">D37</f>
        <v>20004</v>
      </c>
      <c r="G37">
        <f t="shared" ref="G37" si="50">D38</f>
        <v>13359</v>
      </c>
      <c r="H37">
        <f t="shared" ref="H37" si="51">D39</f>
        <v>10946</v>
      </c>
      <c r="I37">
        <f t="shared" ref="I37" si="52">D40</f>
        <v>14652</v>
      </c>
      <c r="J37">
        <f t="shared" ref="J37" si="53">D41</f>
        <v>55</v>
      </c>
      <c r="K37">
        <f t="shared" ref="K37" si="54">F37/SUM(G37:H37)</f>
        <v>0.82304052664060889</v>
      </c>
      <c r="L37">
        <f t="shared" ref="L37" si="55">H37/SUM(F37:H37)</f>
        <v>0.24703784784129634</v>
      </c>
    </row>
    <row r="38" spans="1:12">
      <c r="A38" t="s">
        <v>4</v>
      </c>
      <c r="B38">
        <v>2022</v>
      </c>
      <c r="C38" t="s">
        <v>6</v>
      </c>
      <c r="D38">
        <v>13359</v>
      </c>
    </row>
    <row r="39" spans="1:12">
      <c r="A39" t="s">
        <v>4</v>
      </c>
      <c r="B39">
        <v>2022</v>
      </c>
      <c r="C39" t="s">
        <v>7</v>
      </c>
      <c r="D39">
        <v>10946</v>
      </c>
    </row>
    <row r="40" spans="1:12">
      <c r="A40" t="s">
        <v>4</v>
      </c>
      <c r="B40">
        <v>2022</v>
      </c>
      <c r="C40" t="s">
        <v>8</v>
      </c>
      <c r="D40">
        <v>14652</v>
      </c>
    </row>
    <row r="41" spans="1:12">
      <c r="A41" t="s">
        <v>4</v>
      </c>
      <c r="B41">
        <v>2022</v>
      </c>
      <c r="C41" t="s">
        <v>9</v>
      </c>
      <c r="D41">
        <v>55</v>
      </c>
    </row>
    <row r="42" spans="1:12">
      <c r="A42" t="s">
        <v>4</v>
      </c>
      <c r="B42">
        <v>2023</v>
      </c>
      <c r="C42" t="s">
        <v>5</v>
      </c>
      <c r="D42">
        <v>17331</v>
      </c>
      <c r="E42">
        <f t="shared" ref="E42" si="56">B42</f>
        <v>2023</v>
      </c>
      <c r="F42">
        <f t="shared" ref="F42" si="57">D42</f>
        <v>17331</v>
      </c>
      <c r="G42">
        <f t="shared" ref="G42" si="58">D43</f>
        <v>12829</v>
      </c>
      <c r="H42">
        <f t="shared" ref="H42" si="59">D44</f>
        <v>9028</v>
      </c>
      <c r="I42">
        <f t="shared" ref="I42" si="60">D45</f>
        <v>13763</v>
      </c>
      <c r="J42">
        <f t="shared" ref="J42" si="61">D46</f>
        <v>56</v>
      </c>
      <c r="K42">
        <f t="shared" ref="K42" si="62">F42/SUM(G42:H42)</f>
        <v>0.79292675115523625</v>
      </c>
      <c r="L42">
        <f t="shared" ref="L42" si="63">H42/SUM(F42:H42)</f>
        <v>0.23037664591201387</v>
      </c>
    </row>
    <row r="43" spans="1:12">
      <c r="A43" t="s">
        <v>4</v>
      </c>
      <c r="B43">
        <v>2023</v>
      </c>
      <c r="C43" t="s">
        <v>6</v>
      </c>
      <c r="D43">
        <v>12829</v>
      </c>
    </row>
    <row r="44" spans="1:12">
      <c r="A44" t="s">
        <v>4</v>
      </c>
      <c r="B44">
        <v>2023</v>
      </c>
      <c r="C44" t="s">
        <v>7</v>
      </c>
      <c r="D44">
        <v>9028</v>
      </c>
    </row>
    <row r="45" spans="1:12">
      <c r="A45" t="s">
        <v>4</v>
      </c>
      <c r="B45">
        <v>2023</v>
      </c>
      <c r="C45" t="s">
        <v>8</v>
      </c>
      <c r="D45">
        <v>13763</v>
      </c>
    </row>
    <row r="46" spans="1:12">
      <c r="A46" t="s">
        <v>4</v>
      </c>
      <c r="B46">
        <v>2023</v>
      </c>
      <c r="C46" t="s">
        <v>9</v>
      </c>
      <c r="D46">
        <v>56</v>
      </c>
    </row>
    <row r="47" spans="1:12">
      <c r="A47" t="s">
        <v>4</v>
      </c>
      <c r="B47" s="1" t="s">
        <v>10</v>
      </c>
      <c r="C47" t="s">
        <v>5</v>
      </c>
      <c r="D47">
        <v>12855</v>
      </c>
      <c r="E47" t="str">
        <f t="shared" ref="E47" si="64">B47</f>
        <v>2024*</v>
      </c>
      <c r="F47">
        <f t="shared" ref="F47" si="65">D47</f>
        <v>12855</v>
      </c>
      <c r="G47">
        <f t="shared" ref="G47" si="66">D48</f>
        <v>9559</v>
      </c>
      <c r="H47">
        <f t="shared" ref="H47" si="67">D49</f>
        <v>7161</v>
      </c>
      <c r="I47">
        <f t="shared" ref="I47" si="68">D50</f>
        <v>11859</v>
      </c>
      <c r="J47">
        <f t="shared" ref="J47" si="69">D51</f>
        <v>62</v>
      </c>
      <c r="K47">
        <f t="shared" ref="K47" si="70">F47/SUM(G47:H47)</f>
        <v>0.76883971291866027</v>
      </c>
      <c r="L47">
        <f t="shared" ref="L47" si="71">H47/SUM(F47:H47)</f>
        <v>0.2421301775147929</v>
      </c>
    </row>
    <row r="48" spans="1:12">
      <c r="A48" t="s">
        <v>4</v>
      </c>
      <c r="B48" s="1" t="s">
        <v>10</v>
      </c>
      <c r="C48" t="s">
        <v>6</v>
      </c>
      <c r="D48">
        <v>9559</v>
      </c>
    </row>
    <row r="49" spans="1:4">
      <c r="A49" t="s">
        <v>4</v>
      </c>
      <c r="B49" s="1" t="s">
        <v>10</v>
      </c>
      <c r="C49" t="s">
        <v>7</v>
      </c>
      <c r="D49">
        <v>7161</v>
      </c>
    </row>
    <row r="50" spans="1:4">
      <c r="A50" t="s">
        <v>4</v>
      </c>
      <c r="B50" s="1" t="s">
        <v>10</v>
      </c>
      <c r="C50" t="s">
        <v>8</v>
      </c>
      <c r="D50">
        <v>11859</v>
      </c>
    </row>
    <row r="51" spans="1:4">
      <c r="A51" t="s">
        <v>4</v>
      </c>
      <c r="B51" s="1" t="s">
        <v>10</v>
      </c>
      <c r="C51" t="s">
        <v>9</v>
      </c>
      <c r="D51">
        <v>62</v>
      </c>
    </row>
    <row r="53" spans="1:4">
      <c r="A53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A2EF-4D24-7A45-BFAF-E21A6E75C01D}">
  <dimension ref="A3:O64"/>
  <sheetViews>
    <sheetView workbookViewId="0">
      <selection activeCell="G6" sqref="G6:G15"/>
    </sheetView>
  </sheetViews>
  <sheetFormatPr baseColWidth="10" defaultRowHeight="15"/>
  <cols>
    <col min="1" max="6" width="9.5" customWidth="1"/>
    <col min="7" max="7" width="18" customWidth="1"/>
    <col min="8" max="8" width="22.83203125" customWidth="1"/>
  </cols>
  <sheetData>
    <row r="3" spans="1:15">
      <c r="B3" s="49" t="s">
        <v>33</v>
      </c>
      <c r="C3" s="49"/>
      <c r="D3" s="49"/>
      <c r="E3" s="49"/>
      <c r="F3" s="49"/>
      <c r="G3" s="49"/>
      <c r="H3" s="49"/>
      <c r="I3" s="49"/>
      <c r="M3" s="49" t="s">
        <v>34</v>
      </c>
      <c r="N3" s="49"/>
      <c r="O3" s="49"/>
    </row>
    <row r="4" spans="1:15">
      <c r="B4" s="45"/>
      <c r="C4" s="45"/>
      <c r="D4" s="45"/>
      <c r="E4" s="45"/>
      <c r="F4" s="45"/>
      <c r="G4" s="48" t="s">
        <v>36</v>
      </c>
      <c r="H4" s="45"/>
      <c r="I4" s="45"/>
      <c r="M4" s="45"/>
      <c r="N4" s="45"/>
      <c r="O4" s="45"/>
    </row>
    <row r="5" spans="1:15" s="4" customFormat="1" ht="96">
      <c r="A5" s="6" t="s">
        <v>1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6" t="s">
        <v>12</v>
      </c>
      <c r="H5" s="5" t="s">
        <v>13</v>
      </c>
      <c r="I5" s="4" t="s">
        <v>14</v>
      </c>
      <c r="N5" s="4" t="s">
        <v>35</v>
      </c>
      <c r="O5" s="4" t="s">
        <v>25</v>
      </c>
    </row>
    <row r="6" spans="1:15">
      <c r="A6">
        <v>2015</v>
      </c>
      <c r="B6">
        <v>14229</v>
      </c>
      <c r="C6">
        <v>3178</v>
      </c>
      <c r="D6">
        <v>4140</v>
      </c>
      <c r="E6">
        <v>2298</v>
      </c>
      <c r="F6">
        <v>27</v>
      </c>
      <c r="G6">
        <f>B6/SUM(B6:C6)</f>
        <v>0.81742976963290626</v>
      </c>
      <c r="H6">
        <f>D6/SUM(B6:D6)</f>
        <v>0.19213811667517519</v>
      </c>
      <c r="I6">
        <f>E6/SUM(B6:F6)</f>
        <v>9.6263404825737267E-2</v>
      </c>
    </row>
    <row r="7" spans="1:15">
      <c r="A7">
        <v>2016</v>
      </c>
      <c r="B7">
        <v>16155</v>
      </c>
      <c r="C7">
        <v>3880</v>
      </c>
      <c r="D7">
        <v>4689</v>
      </c>
      <c r="E7">
        <v>3049</v>
      </c>
      <c r="F7">
        <v>41</v>
      </c>
      <c r="G7">
        <f t="shared" ref="G7:G15" si="0">B7/SUM(B7:C7)</f>
        <v>0.80633890691290244</v>
      </c>
      <c r="H7">
        <f t="shared" ref="H7:H15" si="1">D7/SUM(B7:D7)</f>
        <v>0.18965377770587283</v>
      </c>
      <c r="I7">
        <f t="shared" ref="I7:I15" si="2">E7/SUM(B7:F7)</f>
        <v>0.1096210541453944</v>
      </c>
    </row>
    <row r="8" spans="1:15">
      <c r="A8">
        <v>2017</v>
      </c>
      <c r="B8">
        <v>17736</v>
      </c>
      <c r="C8">
        <v>4548</v>
      </c>
      <c r="D8">
        <v>4601</v>
      </c>
      <c r="E8">
        <v>3722</v>
      </c>
      <c r="F8">
        <v>37</v>
      </c>
      <c r="G8">
        <f t="shared" si="0"/>
        <v>0.79590737749057616</v>
      </c>
      <c r="H8">
        <f t="shared" si="1"/>
        <v>0.171136321368793</v>
      </c>
      <c r="I8">
        <f t="shared" si="2"/>
        <v>0.12145933951181308</v>
      </c>
    </row>
    <row r="9" spans="1:15">
      <c r="A9">
        <v>2018</v>
      </c>
      <c r="B9">
        <v>18760</v>
      </c>
      <c r="C9">
        <v>5416</v>
      </c>
      <c r="D9">
        <v>5858</v>
      </c>
      <c r="E9">
        <v>4995</v>
      </c>
      <c r="F9">
        <v>34</v>
      </c>
      <c r="G9">
        <f t="shared" si="0"/>
        <v>0.77597617471872937</v>
      </c>
      <c r="H9">
        <f t="shared" si="1"/>
        <v>0.19504561496970099</v>
      </c>
      <c r="I9">
        <f t="shared" si="2"/>
        <v>0.14245786156347146</v>
      </c>
    </row>
    <row r="10" spans="1:15">
      <c r="A10">
        <v>2019</v>
      </c>
      <c r="B10">
        <v>18381</v>
      </c>
      <c r="C10">
        <v>7289</v>
      </c>
      <c r="D10">
        <v>6732</v>
      </c>
      <c r="E10">
        <v>6493</v>
      </c>
      <c r="F10">
        <v>97</v>
      </c>
      <c r="G10">
        <f t="shared" si="0"/>
        <v>0.71604986365407086</v>
      </c>
      <c r="H10">
        <f t="shared" si="1"/>
        <v>0.20776495278069254</v>
      </c>
      <c r="I10">
        <f t="shared" si="2"/>
        <v>0.16652133771029956</v>
      </c>
    </row>
    <row r="11" spans="1:15">
      <c r="A11">
        <v>2020</v>
      </c>
      <c r="B11">
        <v>17968</v>
      </c>
      <c r="C11">
        <v>7801</v>
      </c>
      <c r="D11">
        <v>7877</v>
      </c>
      <c r="E11">
        <v>7901</v>
      </c>
      <c r="F11">
        <v>108</v>
      </c>
      <c r="G11">
        <f t="shared" si="0"/>
        <v>0.69727191586790327</v>
      </c>
      <c r="H11">
        <f t="shared" si="1"/>
        <v>0.23411401058075254</v>
      </c>
      <c r="I11">
        <f t="shared" si="2"/>
        <v>0.1896771095906854</v>
      </c>
    </row>
    <row r="12" spans="1:15">
      <c r="A12">
        <v>2021</v>
      </c>
      <c r="B12">
        <v>19229</v>
      </c>
      <c r="C12">
        <v>11228</v>
      </c>
      <c r="D12">
        <v>10892</v>
      </c>
      <c r="E12">
        <v>12265</v>
      </c>
      <c r="F12">
        <v>153</v>
      </c>
      <c r="G12">
        <f t="shared" si="0"/>
        <v>0.6313491151459435</v>
      </c>
      <c r="H12">
        <f t="shared" si="1"/>
        <v>0.26341628576265447</v>
      </c>
      <c r="I12">
        <f t="shared" si="2"/>
        <v>0.22811389885989547</v>
      </c>
      <c r="M12">
        <v>2021</v>
      </c>
      <c r="N12">
        <v>0.66623600344530576</v>
      </c>
      <c r="O12">
        <v>0.57579672695951767</v>
      </c>
    </row>
    <row r="13" spans="1:15">
      <c r="A13">
        <v>2022</v>
      </c>
      <c r="B13">
        <v>20004</v>
      </c>
      <c r="C13">
        <v>13359</v>
      </c>
      <c r="D13">
        <v>10946</v>
      </c>
      <c r="E13">
        <v>14652</v>
      </c>
      <c r="F13">
        <v>55</v>
      </c>
      <c r="G13">
        <f t="shared" si="0"/>
        <v>0.59958636813236221</v>
      </c>
      <c r="H13">
        <f t="shared" si="1"/>
        <v>0.24703784784129634</v>
      </c>
      <c r="I13">
        <f t="shared" si="2"/>
        <v>0.24827165514436764</v>
      </c>
      <c r="M13">
        <v>2022</v>
      </c>
      <c r="N13">
        <v>0.62687927107061503</v>
      </c>
      <c r="O13">
        <v>0.5476082004555809</v>
      </c>
    </row>
    <row r="14" spans="1:15">
      <c r="A14">
        <v>2023</v>
      </c>
      <c r="B14">
        <v>17331</v>
      </c>
      <c r="C14">
        <v>12829</v>
      </c>
      <c r="D14">
        <v>9028</v>
      </c>
      <c r="E14">
        <v>13763</v>
      </c>
      <c r="F14">
        <v>56</v>
      </c>
      <c r="G14">
        <f t="shared" si="0"/>
        <v>0.57463527851458884</v>
      </c>
      <c r="H14">
        <f t="shared" si="1"/>
        <v>0.23037664591201387</v>
      </c>
      <c r="I14">
        <f t="shared" si="2"/>
        <v>0.25964495255343634</v>
      </c>
      <c r="M14">
        <v>2023</v>
      </c>
      <c r="N14">
        <v>0.65831556503198296</v>
      </c>
      <c r="O14">
        <v>0.54530916844349675</v>
      </c>
    </row>
    <row r="15" spans="1:15" s="47" customFormat="1">
      <c r="A15" s="47" t="s">
        <v>10</v>
      </c>
      <c r="B15" s="47">
        <v>12855</v>
      </c>
      <c r="C15" s="47">
        <v>9559</v>
      </c>
      <c r="D15" s="47">
        <v>7161</v>
      </c>
      <c r="E15" s="47">
        <v>11859</v>
      </c>
      <c r="F15" s="47">
        <v>62</v>
      </c>
      <c r="G15" s="47">
        <f t="shared" si="0"/>
        <v>0.57352547514946017</v>
      </c>
      <c r="H15" s="47">
        <f t="shared" si="1"/>
        <v>0.2421301775147929</v>
      </c>
      <c r="I15" s="47">
        <f t="shared" si="2"/>
        <v>0.2857865818392134</v>
      </c>
      <c r="M15" s="47">
        <v>2024</v>
      </c>
      <c r="N15" s="47">
        <v>0.63421052631578945</v>
      </c>
      <c r="O15" s="47">
        <v>0.50701754385964914</v>
      </c>
    </row>
    <row r="17" spans="1:7">
      <c r="F17" t="s">
        <v>37</v>
      </c>
      <c r="G17">
        <f>AVERAGE(G6:G15)</f>
        <v>0.69880702452194432</v>
      </c>
    </row>
    <row r="23" spans="1:7">
      <c r="D23" s="49" t="s">
        <v>38</v>
      </c>
      <c r="E23" s="49"/>
    </row>
    <row r="24" spans="1:7" ht="32">
      <c r="A24" s="6" t="s">
        <v>1</v>
      </c>
      <c r="B24" s="4" t="s">
        <v>42</v>
      </c>
      <c r="C24" s="4" t="s">
        <v>43</v>
      </c>
      <c r="D24" t="s">
        <v>39</v>
      </c>
      <c r="E24" t="s">
        <v>40</v>
      </c>
      <c r="F24" t="s">
        <v>41</v>
      </c>
    </row>
    <row r="25" spans="1:7">
      <c r="A25">
        <v>2015</v>
      </c>
      <c r="B25">
        <v>14229</v>
      </c>
      <c r="C25">
        <v>3178</v>
      </c>
    </row>
    <row r="26" spans="1:7">
      <c r="A26">
        <v>2016</v>
      </c>
      <c r="B26">
        <v>16155</v>
      </c>
      <c r="C26">
        <v>3880</v>
      </c>
    </row>
    <row r="27" spans="1:7">
      <c r="A27">
        <v>2017</v>
      </c>
      <c r="B27">
        <v>17736</v>
      </c>
      <c r="C27">
        <v>4548</v>
      </c>
    </row>
    <row r="28" spans="1:7">
      <c r="A28">
        <v>2018</v>
      </c>
      <c r="B28">
        <v>18760</v>
      </c>
      <c r="C28">
        <v>5416</v>
      </c>
    </row>
    <row r="29" spans="1:7">
      <c r="A29">
        <v>2019</v>
      </c>
      <c r="B29">
        <v>18381</v>
      </c>
      <c r="C29">
        <v>7289</v>
      </c>
      <c r="D29">
        <f>B29/B25</f>
        <v>1.29179843980603</v>
      </c>
      <c r="E29">
        <f>C29/C25</f>
        <v>2.2935808684707362</v>
      </c>
      <c r="F29">
        <f>E29/D29</f>
        <v>1.7754943788406563</v>
      </c>
    </row>
    <row r="30" spans="1:7">
      <c r="A30">
        <v>2020</v>
      </c>
      <c r="B30">
        <v>17968</v>
      </c>
      <c r="C30">
        <v>7801</v>
      </c>
      <c r="D30">
        <f>B30/B26</f>
        <v>1.1122253172392449</v>
      </c>
      <c r="E30">
        <f>C30/C26</f>
        <v>2.0105670103092783</v>
      </c>
      <c r="F30">
        <f t="shared" ref="F30:F32" si="3">E30/D30</f>
        <v>1.8076975763327243</v>
      </c>
    </row>
    <row r="31" spans="1:7">
      <c r="A31">
        <v>2021</v>
      </c>
      <c r="B31">
        <v>19229</v>
      </c>
      <c r="C31">
        <v>11228</v>
      </c>
      <c r="D31">
        <f t="shared" ref="D31:E31" si="4">B31/B27</f>
        <v>1.0841790708164185</v>
      </c>
      <c r="E31">
        <f t="shared" si="4"/>
        <v>2.4687774846086192</v>
      </c>
      <c r="F31">
        <f t="shared" si="3"/>
        <v>2.277093840918325</v>
      </c>
    </row>
    <row r="32" spans="1:7">
      <c r="A32">
        <v>2022</v>
      </c>
      <c r="B32">
        <v>20004</v>
      </c>
      <c r="C32">
        <v>13359</v>
      </c>
      <c r="D32">
        <f t="shared" ref="D32:E32" si="5">B32/B28</f>
        <v>1.066311300639659</v>
      </c>
      <c r="E32">
        <f t="shared" si="5"/>
        <v>2.4665805022156575</v>
      </c>
      <c r="F32">
        <f t="shared" si="3"/>
        <v>2.3131898731036658</v>
      </c>
    </row>
    <row r="34" spans="1:6">
      <c r="E34" t="s">
        <v>44</v>
      </c>
      <c r="F34">
        <f>AVERAGE(F29:F32)</f>
        <v>2.0433689172988427</v>
      </c>
    </row>
    <row r="35" spans="1:6">
      <c r="E35" t="s">
        <v>45</v>
      </c>
      <c r="F35">
        <f>STDEV(F29:F32)</f>
        <v>0.29139231139440225</v>
      </c>
    </row>
    <row r="39" spans="1:6" ht="32">
      <c r="A39" s="6" t="s">
        <v>1</v>
      </c>
      <c r="B39" s="4" t="s">
        <v>42</v>
      </c>
      <c r="C39" s="4" t="s">
        <v>43</v>
      </c>
      <c r="D39" t="s">
        <v>39</v>
      </c>
      <c r="E39" t="s">
        <v>40</v>
      </c>
      <c r="F39" t="s">
        <v>41</v>
      </c>
    </row>
    <row r="40" spans="1:6">
      <c r="A40">
        <v>2015</v>
      </c>
      <c r="B40">
        <v>14229</v>
      </c>
      <c r="C40" s="46">
        <f>SUM(C6:D6)</f>
        <v>7318</v>
      </c>
    </row>
    <row r="41" spans="1:6">
      <c r="A41">
        <v>2016</v>
      </c>
      <c r="B41">
        <v>16155</v>
      </c>
      <c r="C41" s="46">
        <f t="shared" ref="C41:C47" si="6">SUM(C7:D7)</f>
        <v>8569</v>
      </c>
    </row>
    <row r="42" spans="1:6">
      <c r="A42">
        <v>2017</v>
      </c>
      <c r="B42">
        <v>17736</v>
      </c>
      <c r="C42" s="46">
        <f t="shared" si="6"/>
        <v>9149</v>
      </c>
    </row>
    <row r="43" spans="1:6">
      <c r="A43">
        <v>2018</v>
      </c>
      <c r="B43">
        <v>18760</v>
      </c>
      <c r="C43" s="46">
        <f t="shared" si="6"/>
        <v>11274</v>
      </c>
    </row>
    <row r="44" spans="1:6">
      <c r="A44">
        <v>2019</v>
      </c>
      <c r="B44">
        <v>18381</v>
      </c>
      <c r="C44" s="46">
        <f t="shared" si="6"/>
        <v>14021</v>
      </c>
      <c r="D44">
        <f>B44/B40</f>
        <v>1.29179843980603</v>
      </c>
      <c r="E44">
        <f>C44/C40</f>
        <v>1.9159606449849687</v>
      </c>
      <c r="F44">
        <f>E44/D44</f>
        <v>1.4831730600887394</v>
      </c>
    </row>
    <row r="45" spans="1:6">
      <c r="A45">
        <v>2020</v>
      </c>
      <c r="B45">
        <v>17968</v>
      </c>
      <c r="C45" s="46">
        <f t="shared" si="6"/>
        <v>15678</v>
      </c>
      <c r="D45">
        <f>B45/B41</f>
        <v>1.1122253172392449</v>
      </c>
      <c r="E45">
        <f>C45/C41</f>
        <v>1.8296183918776987</v>
      </c>
      <c r="F45">
        <f t="shared" ref="F45:F47" si="7">E45/D45</f>
        <v>1.6450069635342954</v>
      </c>
    </row>
    <row r="46" spans="1:6">
      <c r="A46">
        <v>2021</v>
      </c>
      <c r="B46">
        <v>19229</v>
      </c>
      <c r="C46" s="46">
        <f t="shared" si="6"/>
        <v>22120</v>
      </c>
      <c r="D46">
        <f t="shared" ref="D46:D47" si="8">B46/B42</f>
        <v>1.0841790708164185</v>
      </c>
      <c r="E46">
        <f t="shared" ref="E46:E47" si="9">C46/C42</f>
        <v>2.4177505738332057</v>
      </c>
      <c r="F46">
        <f t="shared" si="7"/>
        <v>2.2300288198817277</v>
      </c>
    </row>
    <row r="47" spans="1:6">
      <c r="A47">
        <v>2022</v>
      </c>
      <c r="B47">
        <v>20004</v>
      </c>
      <c r="C47" s="46">
        <f t="shared" si="6"/>
        <v>24305</v>
      </c>
      <c r="D47">
        <f t="shared" si="8"/>
        <v>1.066311300639659</v>
      </c>
      <c r="E47">
        <f t="shared" si="9"/>
        <v>2.1558453077878306</v>
      </c>
      <c r="F47">
        <f t="shared" si="7"/>
        <v>2.0217785429963855</v>
      </c>
    </row>
    <row r="49" spans="1:6">
      <c r="E49" t="s">
        <v>44</v>
      </c>
      <c r="F49">
        <f>AVERAGE(F44:F47)</f>
        <v>1.8449968466252868</v>
      </c>
    </row>
    <row r="50" spans="1:6">
      <c r="E50" t="s">
        <v>45</v>
      </c>
      <c r="F50">
        <f>STDEV(F44:F47)</f>
        <v>0.34176687690294866</v>
      </c>
    </row>
    <row r="53" spans="1:6" ht="32">
      <c r="A53" s="6" t="s">
        <v>1</v>
      </c>
      <c r="B53" s="4" t="s">
        <v>42</v>
      </c>
      <c r="C53" s="4" t="s">
        <v>43</v>
      </c>
      <c r="D53" t="s">
        <v>39</v>
      </c>
      <c r="E53" t="s">
        <v>40</v>
      </c>
      <c r="F53" t="s">
        <v>41</v>
      </c>
    </row>
    <row r="54" spans="1:6">
      <c r="A54">
        <v>2015</v>
      </c>
      <c r="B54" s="46">
        <f>B6+D6</f>
        <v>18369</v>
      </c>
      <c r="C54" s="46">
        <f>C6</f>
        <v>3178</v>
      </c>
    </row>
    <row r="55" spans="1:6">
      <c r="A55">
        <v>2016</v>
      </c>
      <c r="B55" s="46">
        <f t="shared" ref="B55:B61" si="10">B7+D7</f>
        <v>20844</v>
      </c>
      <c r="C55" s="46">
        <f t="shared" ref="C55:C61" si="11">C7</f>
        <v>3880</v>
      </c>
    </row>
    <row r="56" spans="1:6">
      <c r="A56">
        <v>2017</v>
      </c>
      <c r="B56" s="46">
        <f t="shared" si="10"/>
        <v>22337</v>
      </c>
      <c r="C56" s="46">
        <f t="shared" si="11"/>
        <v>4548</v>
      </c>
    </row>
    <row r="57" spans="1:6">
      <c r="A57">
        <v>2018</v>
      </c>
      <c r="B57" s="46">
        <f t="shared" si="10"/>
        <v>24618</v>
      </c>
      <c r="C57" s="46">
        <f t="shared" si="11"/>
        <v>5416</v>
      </c>
    </row>
    <row r="58" spans="1:6">
      <c r="A58">
        <v>2019</v>
      </c>
      <c r="B58" s="46">
        <f t="shared" si="10"/>
        <v>25113</v>
      </c>
      <c r="C58" s="46">
        <f t="shared" si="11"/>
        <v>7289</v>
      </c>
      <c r="D58">
        <f>B58/B54</f>
        <v>1.3671402907071697</v>
      </c>
      <c r="E58">
        <f>C58/C54</f>
        <v>2.2935808684707362</v>
      </c>
      <c r="F58">
        <f>E58/D58</f>
        <v>1.6776485076629217</v>
      </c>
    </row>
    <row r="59" spans="1:6">
      <c r="A59">
        <v>2020</v>
      </c>
      <c r="B59" s="46">
        <f t="shared" si="10"/>
        <v>25845</v>
      </c>
      <c r="C59" s="46">
        <f t="shared" si="11"/>
        <v>7801</v>
      </c>
      <c r="D59">
        <f>B59/B55</f>
        <v>1.2399251583189408</v>
      </c>
      <c r="E59">
        <f>C59/C55</f>
        <v>2.0105670103092783</v>
      </c>
      <c r="F59">
        <f t="shared" ref="F59:F61" si="12">E59/D59</f>
        <v>1.6215228772639425</v>
      </c>
    </row>
    <row r="60" spans="1:6">
      <c r="A60">
        <v>2021</v>
      </c>
      <c r="B60" s="46">
        <f t="shared" si="10"/>
        <v>30121</v>
      </c>
      <c r="C60" s="46">
        <f t="shared" si="11"/>
        <v>11228</v>
      </c>
      <c r="D60">
        <f t="shared" ref="D60:D61" si="13">B60/B56</f>
        <v>1.3484801002820432</v>
      </c>
      <c r="E60">
        <f t="shared" ref="E60:E61" si="14">C60/C56</f>
        <v>2.4687774846086192</v>
      </c>
      <c r="F60">
        <f t="shared" si="12"/>
        <v>1.8307852552605401</v>
      </c>
    </row>
    <row r="61" spans="1:6">
      <c r="A61">
        <v>2022</v>
      </c>
      <c r="B61" s="46">
        <f t="shared" si="10"/>
        <v>30950</v>
      </c>
      <c r="C61" s="46">
        <f t="shared" si="11"/>
        <v>13359</v>
      </c>
      <c r="D61">
        <f t="shared" si="13"/>
        <v>1.2572101714192867</v>
      </c>
      <c r="E61">
        <f t="shared" si="14"/>
        <v>2.4665805022156575</v>
      </c>
      <c r="F61">
        <f t="shared" si="12"/>
        <v>1.9619476188544445</v>
      </c>
    </row>
    <row r="63" spans="1:6">
      <c r="E63" t="s">
        <v>44</v>
      </c>
      <c r="F63">
        <f>AVERAGE(F58:F61)</f>
        <v>1.7729760647604622</v>
      </c>
    </row>
    <row r="64" spans="1:6">
      <c r="E64" t="s">
        <v>45</v>
      </c>
      <c r="F64">
        <f>STDEV(F58:F61)</f>
        <v>0.15392374942159939</v>
      </c>
    </row>
  </sheetData>
  <autoFilter ref="A5:H59" xr:uid="{3F50A2EF-4D24-7A45-BFAF-E21A6E75C01D}">
    <sortState xmlns:xlrd2="http://schemas.microsoft.com/office/spreadsheetml/2017/richdata2" ref="A6:H59">
      <sortCondition ref="A5:A59"/>
    </sortState>
  </autoFilter>
  <mergeCells count="3">
    <mergeCell ref="B3:I3"/>
    <mergeCell ref="M3:O3"/>
    <mergeCell ref="D23:E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B46A-55FB-D04E-9130-A7173BB06898}">
  <dimension ref="A1:U18"/>
  <sheetViews>
    <sheetView tabSelected="1" workbookViewId="0">
      <selection activeCell="U18" sqref="A1:U18"/>
    </sheetView>
  </sheetViews>
  <sheetFormatPr baseColWidth="10" defaultRowHeight="15"/>
  <cols>
    <col min="1" max="21" width="9.6640625" style="4" customWidth="1"/>
  </cols>
  <sheetData>
    <row r="1" spans="1:21" s="4" customFormat="1" ht="20" customHeight="1" thickBot="1">
      <c r="A1" s="52" t="s">
        <v>46</v>
      </c>
      <c r="B1" s="53">
        <v>100</v>
      </c>
      <c r="C1" s="53">
        <v>100</v>
      </c>
      <c r="D1" s="53">
        <v>100</v>
      </c>
      <c r="E1" s="53">
        <v>100</v>
      </c>
      <c r="F1" s="54">
        <v>100</v>
      </c>
      <c r="G1" s="53">
        <v>100</v>
      </c>
      <c r="H1" s="53">
        <v>100</v>
      </c>
      <c r="I1" s="54">
        <v>100</v>
      </c>
      <c r="J1" s="53">
        <v>100</v>
      </c>
      <c r="K1" s="53">
        <v>100</v>
      </c>
      <c r="L1" s="53">
        <v>100</v>
      </c>
      <c r="M1" s="53">
        <v>100</v>
      </c>
      <c r="N1" s="53">
        <v>100</v>
      </c>
      <c r="O1" s="53">
        <v>100</v>
      </c>
      <c r="P1" s="54">
        <v>100</v>
      </c>
      <c r="Q1" s="53">
        <v>100</v>
      </c>
      <c r="R1" s="53">
        <v>100</v>
      </c>
      <c r="S1" s="54">
        <v>100</v>
      </c>
      <c r="T1" s="53">
        <v>100</v>
      </c>
      <c r="U1" s="53">
        <v>100</v>
      </c>
    </row>
    <row r="2" spans="1:21" s="4" customFormat="1" ht="20" customHeight="1" thickBot="1">
      <c r="A2" s="55" t="s">
        <v>47</v>
      </c>
      <c r="B2" s="56">
        <v>100</v>
      </c>
      <c r="C2" s="57" t="s">
        <v>71</v>
      </c>
      <c r="D2" s="57" t="s">
        <v>64</v>
      </c>
      <c r="E2" s="58" t="s">
        <v>65</v>
      </c>
      <c r="F2" s="59">
        <v>100</v>
      </c>
      <c r="G2" s="57" t="s">
        <v>64</v>
      </c>
      <c r="H2" s="58" t="s">
        <v>65</v>
      </c>
      <c r="I2" s="59">
        <v>100</v>
      </c>
      <c r="J2" s="57" t="s">
        <v>64</v>
      </c>
      <c r="K2" s="58" t="s">
        <v>65</v>
      </c>
      <c r="L2" s="56">
        <v>100</v>
      </c>
      <c r="M2" s="57" t="s">
        <v>71</v>
      </c>
      <c r="N2" s="57" t="s">
        <v>64</v>
      </c>
      <c r="O2" s="58" t="s">
        <v>65</v>
      </c>
      <c r="P2" s="59">
        <v>100</v>
      </c>
      <c r="Q2" s="57" t="s">
        <v>64</v>
      </c>
      <c r="R2" s="58" t="s">
        <v>65</v>
      </c>
      <c r="S2" s="59">
        <v>100</v>
      </c>
      <c r="T2" s="57" t="s">
        <v>64</v>
      </c>
      <c r="U2" s="58" t="s">
        <v>65</v>
      </c>
    </row>
    <row r="3" spans="1:21" ht="20" customHeight="1" thickBot="1">
      <c r="A3" s="50"/>
      <c r="B3" s="60" t="s">
        <v>48</v>
      </c>
      <c r="C3" s="61"/>
      <c r="D3" s="61"/>
      <c r="E3" s="62"/>
      <c r="F3" s="60" t="s">
        <v>67</v>
      </c>
      <c r="G3" s="61"/>
      <c r="H3" s="62"/>
      <c r="I3" s="60" t="s">
        <v>68</v>
      </c>
      <c r="J3" s="61"/>
      <c r="K3" s="62"/>
      <c r="L3" s="60" t="s">
        <v>66</v>
      </c>
      <c r="M3" s="61"/>
      <c r="N3" s="61"/>
      <c r="O3" s="62"/>
      <c r="P3" s="60" t="s">
        <v>69</v>
      </c>
      <c r="Q3" s="61"/>
      <c r="R3" s="62"/>
      <c r="S3" s="60" t="s">
        <v>70</v>
      </c>
      <c r="T3" s="61"/>
      <c r="U3" s="62"/>
    </row>
    <row r="4" spans="1:21" ht="20" customHeight="1" thickBot="1">
      <c r="A4" s="51" t="s">
        <v>49</v>
      </c>
      <c r="B4" s="63">
        <v>35</v>
      </c>
      <c r="C4" s="63">
        <v>26</v>
      </c>
      <c r="D4" s="63"/>
      <c r="E4" s="64"/>
      <c r="F4" s="63">
        <v>9</v>
      </c>
      <c r="G4" s="63"/>
      <c r="H4" s="64"/>
      <c r="I4" s="63">
        <v>0.26</v>
      </c>
      <c r="J4" s="63"/>
      <c r="K4" s="64"/>
      <c r="L4" s="65">
        <v>341</v>
      </c>
      <c r="M4" s="66">
        <v>253</v>
      </c>
      <c r="N4" s="63"/>
      <c r="O4" s="64"/>
      <c r="P4" s="63"/>
      <c r="Q4" s="63"/>
      <c r="R4" s="64"/>
      <c r="S4" s="63"/>
      <c r="T4" s="63"/>
      <c r="U4" s="64"/>
    </row>
    <row r="5" spans="1:21" ht="20" customHeight="1" thickBot="1">
      <c r="A5" s="50" t="s">
        <v>50</v>
      </c>
      <c r="B5" s="67">
        <v>26</v>
      </c>
      <c r="C5" s="67">
        <v>19</v>
      </c>
      <c r="D5" s="67"/>
      <c r="E5" s="68"/>
      <c r="F5" s="67">
        <v>7</v>
      </c>
      <c r="G5" s="67"/>
      <c r="H5" s="68"/>
      <c r="I5" s="67">
        <v>0.27</v>
      </c>
      <c r="J5" s="67"/>
      <c r="K5" s="68"/>
      <c r="L5" s="69">
        <v>67</v>
      </c>
      <c r="M5" s="70">
        <v>49</v>
      </c>
      <c r="N5" s="67"/>
      <c r="O5" s="68"/>
      <c r="P5" s="67"/>
      <c r="Q5" s="67"/>
      <c r="R5" s="68"/>
      <c r="S5" s="67"/>
      <c r="T5" s="67"/>
      <c r="U5" s="68"/>
    </row>
    <row r="6" spans="1:21" ht="20" customHeight="1" thickBot="1">
      <c r="A6" s="51" t="s">
        <v>51</v>
      </c>
      <c r="B6" s="63">
        <v>26</v>
      </c>
      <c r="C6" s="63">
        <v>20</v>
      </c>
      <c r="D6" s="63"/>
      <c r="E6" s="64"/>
      <c r="F6" s="63">
        <v>6</v>
      </c>
      <c r="G6" s="63"/>
      <c r="H6" s="64"/>
      <c r="I6" s="63">
        <v>0.23</v>
      </c>
      <c r="J6" s="63"/>
      <c r="K6" s="64"/>
      <c r="L6" s="71">
        <v>73</v>
      </c>
      <c r="M6" s="72">
        <v>55</v>
      </c>
      <c r="N6" s="63"/>
      <c r="O6" s="64"/>
      <c r="P6" s="63"/>
      <c r="Q6" s="63"/>
      <c r="R6" s="64"/>
      <c r="S6" s="63"/>
      <c r="T6" s="63"/>
      <c r="U6" s="64"/>
    </row>
    <row r="7" spans="1:21" ht="20" customHeight="1" thickBot="1">
      <c r="A7" s="50" t="s">
        <v>52</v>
      </c>
      <c r="B7" s="67">
        <v>28</v>
      </c>
      <c r="C7" s="67">
        <v>21</v>
      </c>
      <c r="D7" s="67"/>
      <c r="E7" s="68"/>
      <c r="F7" s="67">
        <v>7</v>
      </c>
      <c r="G7" s="67"/>
      <c r="H7" s="68"/>
      <c r="I7" s="67">
        <v>0.25</v>
      </c>
      <c r="J7" s="67"/>
      <c r="K7" s="68"/>
      <c r="L7" s="69">
        <v>178</v>
      </c>
      <c r="M7" s="70">
        <v>133</v>
      </c>
      <c r="N7" s="67"/>
      <c r="O7" s="68"/>
      <c r="P7" s="67"/>
      <c r="Q7" s="67"/>
      <c r="R7" s="68"/>
      <c r="S7" s="67"/>
      <c r="T7" s="67"/>
      <c r="U7" s="68"/>
    </row>
    <row r="8" spans="1:21" ht="20" customHeight="1" thickBot="1">
      <c r="A8" s="51" t="s">
        <v>53</v>
      </c>
      <c r="B8" s="63">
        <v>30</v>
      </c>
      <c r="C8" s="63">
        <v>21</v>
      </c>
      <c r="D8" s="63"/>
      <c r="E8" s="64"/>
      <c r="F8" s="63">
        <v>9</v>
      </c>
      <c r="G8" s="63"/>
      <c r="H8" s="64"/>
      <c r="I8" s="63">
        <v>0.3</v>
      </c>
      <c r="J8" s="63"/>
      <c r="K8" s="64"/>
      <c r="L8" s="71">
        <v>44</v>
      </c>
      <c r="M8" s="72">
        <v>32</v>
      </c>
      <c r="N8" s="63"/>
      <c r="O8" s="64"/>
      <c r="P8" s="63"/>
      <c r="Q8" s="63"/>
      <c r="R8" s="64"/>
      <c r="S8" s="63"/>
      <c r="T8" s="63"/>
      <c r="U8" s="64"/>
    </row>
    <row r="9" spans="1:21" ht="20" customHeight="1" thickBot="1">
      <c r="A9" s="50" t="s">
        <v>54</v>
      </c>
      <c r="B9" s="67">
        <v>40</v>
      </c>
      <c r="C9" s="67">
        <v>30</v>
      </c>
      <c r="D9" s="67"/>
      <c r="E9" s="68"/>
      <c r="F9" s="67">
        <v>10</v>
      </c>
      <c r="G9" s="67"/>
      <c r="H9" s="68"/>
      <c r="I9" s="67">
        <v>0.25</v>
      </c>
      <c r="J9" s="67"/>
      <c r="K9" s="68"/>
      <c r="L9" s="69">
        <v>83</v>
      </c>
      <c r="M9" s="70">
        <v>62</v>
      </c>
      <c r="N9" s="67"/>
      <c r="O9" s="68"/>
      <c r="P9" s="67"/>
      <c r="Q9" s="67"/>
      <c r="R9" s="68"/>
      <c r="S9" s="67"/>
      <c r="T9" s="67"/>
      <c r="U9" s="68"/>
    </row>
    <row r="10" spans="1:21" ht="20" customHeight="1" thickBot="1">
      <c r="A10" s="51" t="s">
        <v>55</v>
      </c>
      <c r="B10" s="63">
        <v>29</v>
      </c>
      <c r="C10" s="63">
        <v>23</v>
      </c>
      <c r="D10" s="63"/>
      <c r="E10" s="64"/>
      <c r="F10" s="63">
        <v>6</v>
      </c>
      <c r="G10" s="63"/>
      <c r="H10" s="64"/>
      <c r="I10" s="63">
        <v>0.21</v>
      </c>
      <c r="J10" s="63"/>
      <c r="K10" s="64"/>
      <c r="L10" s="71">
        <v>33</v>
      </c>
      <c r="M10" s="72">
        <v>25</v>
      </c>
      <c r="N10" s="63"/>
      <c r="O10" s="64"/>
      <c r="P10" s="63"/>
      <c r="Q10" s="63"/>
      <c r="R10" s="64"/>
      <c r="S10" s="63"/>
      <c r="T10" s="63"/>
      <c r="U10" s="64"/>
    </row>
    <row r="11" spans="1:21" ht="20" customHeight="1" thickBot="1">
      <c r="A11" s="50" t="s">
        <v>56</v>
      </c>
      <c r="B11" s="67">
        <v>47</v>
      </c>
      <c r="C11" s="67">
        <v>34</v>
      </c>
      <c r="D11" s="67"/>
      <c r="E11" s="68"/>
      <c r="F11" s="67">
        <v>13</v>
      </c>
      <c r="G11" s="67"/>
      <c r="H11" s="68"/>
      <c r="I11" s="67">
        <v>0.28000000000000003</v>
      </c>
      <c r="J11" s="67"/>
      <c r="K11" s="68"/>
      <c r="L11" s="69">
        <v>67</v>
      </c>
      <c r="M11" s="70">
        <v>49</v>
      </c>
      <c r="N11" s="67"/>
      <c r="O11" s="68"/>
      <c r="P11" s="67"/>
      <c r="Q11" s="67"/>
      <c r="R11" s="68"/>
      <c r="S11" s="67"/>
      <c r="T11" s="67"/>
      <c r="U11" s="68"/>
    </row>
    <row r="12" spans="1:21" ht="20" customHeight="1" thickBot="1">
      <c r="A12" s="51" t="s">
        <v>57</v>
      </c>
      <c r="B12" s="63">
        <v>43</v>
      </c>
      <c r="C12" s="63">
        <v>32</v>
      </c>
      <c r="D12" s="63"/>
      <c r="E12" s="64"/>
      <c r="F12" s="63">
        <v>11</v>
      </c>
      <c r="G12" s="63"/>
      <c r="H12" s="64"/>
      <c r="I12" s="63">
        <v>0.26</v>
      </c>
      <c r="J12" s="63"/>
      <c r="K12" s="64"/>
      <c r="L12" s="71">
        <v>26</v>
      </c>
      <c r="M12" s="72">
        <v>19</v>
      </c>
      <c r="N12" s="63"/>
      <c r="O12" s="64"/>
      <c r="P12" s="63"/>
      <c r="Q12" s="63"/>
      <c r="R12" s="64"/>
      <c r="S12" s="63"/>
      <c r="T12" s="63"/>
      <c r="U12" s="64"/>
    </row>
    <row r="13" spans="1:21" ht="20" customHeight="1" thickBot="1">
      <c r="A13" s="50" t="s">
        <v>58</v>
      </c>
      <c r="B13" s="67">
        <v>29</v>
      </c>
      <c r="C13" s="67">
        <v>21</v>
      </c>
      <c r="D13" s="67"/>
      <c r="E13" s="68"/>
      <c r="F13" s="67">
        <v>8</v>
      </c>
      <c r="G13" s="67"/>
      <c r="H13" s="68"/>
      <c r="I13" s="67">
        <v>0.28000000000000003</v>
      </c>
      <c r="J13" s="67"/>
      <c r="K13" s="68"/>
      <c r="L13" s="69">
        <v>78</v>
      </c>
      <c r="M13" s="70">
        <v>54</v>
      </c>
      <c r="N13" s="67"/>
      <c r="O13" s="68"/>
      <c r="P13" s="67"/>
      <c r="Q13" s="67"/>
      <c r="R13" s="68"/>
      <c r="S13" s="67"/>
      <c r="T13" s="67"/>
      <c r="U13" s="68"/>
    </row>
    <row r="14" spans="1:21" ht="20" customHeight="1" thickBot="1">
      <c r="A14" s="51" t="s">
        <v>59</v>
      </c>
      <c r="B14" s="63">
        <v>4</v>
      </c>
      <c r="C14" s="63">
        <v>3</v>
      </c>
      <c r="D14" s="63"/>
      <c r="E14" s="64"/>
      <c r="F14" s="63">
        <v>1</v>
      </c>
      <c r="G14" s="63"/>
      <c r="H14" s="64"/>
      <c r="I14" s="63">
        <v>0.25</v>
      </c>
      <c r="J14" s="63"/>
      <c r="K14" s="64"/>
      <c r="L14" s="71">
        <v>17</v>
      </c>
      <c r="M14" s="72">
        <v>13</v>
      </c>
      <c r="N14" s="63"/>
      <c r="O14" s="64"/>
      <c r="P14" s="63"/>
      <c r="Q14" s="63"/>
      <c r="R14" s="64"/>
      <c r="S14" s="63"/>
      <c r="T14" s="63"/>
      <c r="U14" s="64"/>
    </row>
    <row r="15" spans="1:21" ht="20" customHeight="1" thickBot="1">
      <c r="A15" s="50" t="s">
        <v>60</v>
      </c>
      <c r="B15" s="67">
        <v>4</v>
      </c>
      <c r="C15" s="67">
        <v>3</v>
      </c>
      <c r="D15" s="67"/>
      <c r="E15" s="68"/>
      <c r="F15" s="67">
        <v>1</v>
      </c>
      <c r="G15" s="67"/>
      <c r="H15" s="68"/>
      <c r="I15" s="67">
        <v>0.25</v>
      </c>
      <c r="J15" s="67"/>
      <c r="K15" s="68"/>
      <c r="L15" s="69">
        <v>9</v>
      </c>
      <c r="M15" s="70">
        <v>7</v>
      </c>
      <c r="N15" s="67"/>
      <c r="O15" s="68"/>
      <c r="P15" s="67"/>
      <c r="Q15" s="67"/>
      <c r="R15" s="68"/>
      <c r="S15" s="67"/>
      <c r="T15" s="67"/>
      <c r="U15" s="68"/>
    </row>
    <row r="16" spans="1:21" ht="20" customHeight="1" thickBot="1">
      <c r="A16" s="51" t="s">
        <v>61</v>
      </c>
      <c r="B16" s="63">
        <v>11</v>
      </c>
      <c r="C16" s="63">
        <v>8</v>
      </c>
      <c r="D16" s="63"/>
      <c r="E16" s="64"/>
      <c r="F16" s="63">
        <v>3</v>
      </c>
      <c r="G16" s="63"/>
      <c r="H16" s="64"/>
      <c r="I16" s="63">
        <v>0.27</v>
      </c>
      <c r="J16" s="63"/>
      <c r="K16" s="64"/>
      <c r="L16" s="71">
        <v>379</v>
      </c>
      <c r="M16" s="72">
        <v>283</v>
      </c>
      <c r="N16" s="63"/>
      <c r="O16" s="64"/>
      <c r="P16" s="63"/>
      <c r="Q16" s="63"/>
      <c r="R16" s="64"/>
      <c r="S16" s="63"/>
      <c r="T16" s="63"/>
      <c r="U16" s="64"/>
    </row>
    <row r="17" spans="1:21" ht="20" customHeight="1" thickBot="1">
      <c r="A17" s="50" t="s">
        <v>62</v>
      </c>
      <c r="B17" s="67">
        <v>8</v>
      </c>
      <c r="C17" s="67">
        <v>6</v>
      </c>
      <c r="D17" s="67"/>
      <c r="E17" s="68"/>
      <c r="F17" s="67">
        <v>2</v>
      </c>
      <c r="G17" s="67"/>
      <c r="H17" s="68"/>
      <c r="I17" s="67">
        <v>0.25</v>
      </c>
      <c r="J17" s="67"/>
      <c r="K17" s="68"/>
      <c r="L17" s="69">
        <v>208</v>
      </c>
      <c r="M17" s="70">
        <v>160</v>
      </c>
      <c r="N17" s="67"/>
      <c r="O17" s="68"/>
      <c r="P17" s="67"/>
      <c r="Q17" s="67"/>
      <c r="R17" s="68"/>
      <c r="S17" s="67"/>
      <c r="T17" s="67"/>
      <c r="U17" s="68"/>
    </row>
    <row r="18" spans="1:21" ht="20" customHeight="1" thickBot="1">
      <c r="A18" s="51" t="s">
        <v>63</v>
      </c>
      <c r="B18" s="63">
        <v>6</v>
      </c>
      <c r="C18" s="63">
        <v>4</v>
      </c>
      <c r="D18" s="63"/>
      <c r="E18" s="64"/>
      <c r="F18" s="63">
        <v>2</v>
      </c>
      <c r="G18" s="63"/>
      <c r="H18" s="64"/>
      <c r="I18" s="63">
        <v>0.33</v>
      </c>
      <c r="J18" s="63"/>
      <c r="K18" s="64"/>
      <c r="L18" s="71">
        <v>163</v>
      </c>
      <c r="M18" s="72">
        <v>125</v>
      </c>
      <c r="N18" s="63"/>
      <c r="O18" s="64"/>
      <c r="P18" s="63"/>
      <c r="Q18" s="63"/>
      <c r="R18" s="64"/>
      <c r="S18" s="63"/>
      <c r="T18" s="63"/>
      <c r="U18" s="64"/>
    </row>
  </sheetData>
  <mergeCells count="6">
    <mergeCell ref="B3:E3"/>
    <mergeCell ref="F3:H3"/>
    <mergeCell ref="I3:K3"/>
    <mergeCell ref="L3:O3"/>
    <mergeCell ref="P3:R3"/>
    <mergeCell ref="S3:U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4CA6-5D88-0144-B08A-91DBBAA3536C}">
  <dimension ref="A1:F32"/>
  <sheetViews>
    <sheetView workbookViewId="0">
      <selection activeCell="F32" sqref="F32"/>
    </sheetView>
  </sheetViews>
  <sheetFormatPr baseColWidth="10" defaultRowHeight="15"/>
  <sheetData>
    <row r="1" spans="1:1">
      <c r="A1">
        <f>2395*12</f>
        <v>28740</v>
      </c>
    </row>
    <row r="32" spans="6:6">
      <c r="F32">
        <f>2096695381/737690966</f>
        <v>2.8422408266282062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4CA0-CBDB-7E4B-9B6E-528523E8BE4D}">
  <dimension ref="A1"/>
  <sheetViews>
    <sheetView workbookViewId="0">
      <selection activeCell="U9" sqref="U9"/>
    </sheetView>
  </sheetViews>
  <sheetFormatPr baseColWidth="10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C72E-A572-7D4B-A75E-263A2A9F0674}">
  <dimension ref="B1:M48"/>
  <sheetViews>
    <sheetView zoomScale="75" workbookViewId="0">
      <selection activeCell="J42" sqref="A20:J42"/>
    </sheetView>
  </sheetViews>
  <sheetFormatPr baseColWidth="10" defaultRowHeight="16"/>
  <cols>
    <col min="1" max="11" width="10.83203125" style="7"/>
    <col min="12" max="12" width="33.1640625" style="7" customWidth="1"/>
    <col min="13" max="16384" width="10.83203125" style="7"/>
  </cols>
  <sheetData>
    <row r="1" spans="2:13">
      <c r="B1" s="7" t="s">
        <v>32</v>
      </c>
    </row>
    <row r="2" spans="2:13">
      <c r="B2" s="7" t="s">
        <v>31</v>
      </c>
    </row>
    <row r="4" spans="2:13">
      <c r="B4" s="7">
        <v>2024</v>
      </c>
      <c r="K4" s="25"/>
      <c r="L4" s="25" t="s">
        <v>26</v>
      </c>
      <c r="M4" s="25" t="s">
        <v>25</v>
      </c>
    </row>
    <row r="5" spans="2:13" ht="21">
      <c r="B5" s="39" t="s">
        <v>29</v>
      </c>
      <c r="K5" s="25">
        <f>B4</f>
        <v>2024</v>
      </c>
      <c r="L5" s="25">
        <f>SUM(C9:C10)/SUM(C9:C11)</f>
        <v>0.63421052631578945</v>
      </c>
      <c r="M5" s="25">
        <f>C10/SUM(C9:C11)</f>
        <v>0.50701754385964914</v>
      </c>
    </row>
    <row r="6" spans="2:13" ht="22" thickBot="1">
      <c r="B6" s="39" t="s">
        <v>30</v>
      </c>
    </row>
    <row r="7" spans="2:13" ht="55" thickBot="1">
      <c r="B7" s="44" t="s">
        <v>22</v>
      </c>
      <c r="C7" s="37" t="s">
        <v>3</v>
      </c>
      <c r="D7" s="43" t="s">
        <v>21</v>
      </c>
    </row>
    <row r="8" spans="2:13">
      <c r="B8" s="35" t="s">
        <v>20</v>
      </c>
      <c r="C8" s="34">
        <v>3132</v>
      </c>
      <c r="D8" s="42">
        <v>100</v>
      </c>
    </row>
    <row r="9" spans="2:13">
      <c r="B9" s="32" t="s">
        <v>19</v>
      </c>
      <c r="C9" s="30">
        <v>145</v>
      </c>
      <c r="D9" s="40">
        <v>4.6296296296296298</v>
      </c>
    </row>
    <row r="10" spans="2:13">
      <c r="B10" s="31" t="s">
        <v>18</v>
      </c>
      <c r="C10" s="30">
        <v>578</v>
      </c>
      <c r="D10" s="40">
        <v>18.454661558109834</v>
      </c>
    </row>
    <row r="11" spans="2:13">
      <c r="B11" s="31" t="s">
        <v>17</v>
      </c>
      <c r="C11" s="30">
        <v>417</v>
      </c>
      <c r="D11" s="40">
        <v>13.314176245210728</v>
      </c>
    </row>
    <row r="12" spans="2:13">
      <c r="B12" s="31" t="s">
        <v>16</v>
      </c>
      <c r="C12" s="30">
        <v>16</v>
      </c>
      <c r="D12" s="40">
        <v>0.51085568326947639</v>
      </c>
    </row>
    <row r="13" spans="2:13" ht="17" thickBot="1">
      <c r="B13" s="41" t="s">
        <v>15</v>
      </c>
      <c r="C13" s="27">
        <v>1976</v>
      </c>
      <c r="D13" s="40">
        <v>63.090676883780333</v>
      </c>
    </row>
    <row r="15" spans="2:13">
      <c r="B15" s="7">
        <v>2023</v>
      </c>
      <c r="K15" s="25"/>
      <c r="L15" s="25" t="s">
        <v>26</v>
      </c>
      <c r="M15" s="25" t="s">
        <v>25</v>
      </c>
    </row>
    <row r="16" spans="2:13" ht="21">
      <c r="B16" s="39" t="s">
        <v>29</v>
      </c>
      <c r="K16" s="25">
        <f>B15</f>
        <v>2023</v>
      </c>
      <c r="L16" s="25">
        <f>SUM(C20:C21)/SUM(C20:C22)</f>
        <v>0.65831556503198296</v>
      </c>
      <c r="M16" s="25">
        <f>C21/SUM(C20:C22)</f>
        <v>0.54530916844349675</v>
      </c>
    </row>
    <row r="17" spans="2:13" ht="22" thickBot="1">
      <c r="B17" s="39" t="s">
        <v>28</v>
      </c>
    </row>
    <row r="18" spans="2:13" ht="55" thickBot="1">
      <c r="B18" s="38" t="s">
        <v>22</v>
      </c>
      <c r="C18" s="37" t="s">
        <v>3</v>
      </c>
      <c r="D18" s="36" t="s">
        <v>21</v>
      </c>
    </row>
    <row r="19" spans="2:13">
      <c r="B19" s="35" t="s">
        <v>20</v>
      </c>
      <c r="C19" s="34">
        <v>4954</v>
      </c>
      <c r="D19" s="33">
        <v>100</v>
      </c>
    </row>
    <row r="20" spans="2:13">
      <c r="B20" s="32" t="s">
        <v>19</v>
      </c>
      <c r="C20" s="30">
        <v>212</v>
      </c>
      <c r="D20" s="29">
        <v>4.2793702058942262</v>
      </c>
    </row>
    <row r="21" spans="2:13">
      <c r="B21" s="31" t="s">
        <v>18</v>
      </c>
      <c r="C21" s="30">
        <v>1023</v>
      </c>
      <c r="D21" s="29">
        <v>20.649979814291481</v>
      </c>
    </row>
    <row r="22" spans="2:13">
      <c r="B22" s="31" t="s">
        <v>17</v>
      </c>
      <c r="C22" s="30">
        <v>641</v>
      </c>
      <c r="D22" s="29">
        <v>12.939039160274525</v>
      </c>
    </row>
    <row r="23" spans="2:13">
      <c r="B23" s="31" t="s">
        <v>16</v>
      </c>
      <c r="C23" s="30">
        <v>23</v>
      </c>
      <c r="D23" s="29">
        <v>0.46427129592248684</v>
      </c>
    </row>
    <row r="24" spans="2:13" ht="17" thickBot="1">
      <c r="B24" s="28" t="s">
        <v>15</v>
      </c>
      <c r="C24" s="27">
        <v>3055</v>
      </c>
      <c r="D24" s="26">
        <v>61.667339523617272</v>
      </c>
    </row>
    <row r="27" spans="2:13">
      <c r="B27" s="7">
        <v>2022</v>
      </c>
      <c r="K27" s="25"/>
      <c r="L27" s="25" t="s">
        <v>26</v>
      </c>
      <c r="M27" s="25" t="s">
        <v>25</v>
      </c>
    </row>
    <row r="28" spans="2:13" ht="21">
      <c r="B28" s="39" t="s">
        <v>24</v>
      </c>
      <c r="K28" s="25">
        <f>B27</f>
        <v>2022</v>
      </c>
      <c r="L28" s="25">
        <f>SUM(C32:C33)/SUM(C32:C34)</f>
        <v>0.62687927107061503</v>
      </c>
      <c r="M28" s="25">
        <f>C33/SUM(C32:C34)</f>
        <v>0.5476082004555809</v>
      </c>
    </row>
    <row r="29" spans="2:13" ht="22" thickBot="1">
      <c r="B29" s="39" t="s">
        <v>27</v>
      </c>
    </row>
    <row r="30" spans="2:13" ht="55" thickBot="1">
      <c r="B30" s="38" t="s">
        <v>22</v>
      </c>
      <c r="C30" s="37" t="s">
        <v>3</v>
      </c>
      <c r="D30" s="36" t="s">
        <v>21</v>
      </c>
    </row>
    <row r="31" spans="2:13">
      <c r="B31" s="35" t="s">
        <v>20</v>
      </c>
      <c r="C31" s="34">
        <v>5917</v>
      </c>
      <c r="D31" s="33">
        <v>100</v>
      </c>
    </row>
    <row r="32" spans="2:13">
      <c r="B32" s="32" t="s">
        <v>19</v>
      </c>
      <c r="C32" s="30">
        <v>174</v>
      </c>
      <c r="D32" s="29">
        <v>2.9406793983437551</v>
      </c>
    </row>
    <row r="33" spans="2:13">
      <c r="B33" s="31" t="s">
        <v>18</v>
      </c>
      <c r="C33" s="30">
        <v>1202</v>
      </c>
      <c r="D33" s="29">
        <v>20.314348487409159</v>
      </c>
    </row>
    <row r="34" spans="2:13">
      <c r="B34" s="31" t="s">
        <v>17</v>
      </c>
      <c r="C34" s="30">
        <v>819</v>
      </c>
      <c r="D34" s="29">
        <v>13.841473719790432</v>
      </c>
    </row>
    <row r="35" spans="2:13">
      <c r="B35" s="31" t="s">
        <v>16</v>
      </c>
      <c r="C35" s="30">
        <v>25</v>
      </c>
      <c r="D35" s="29">
        <v>0.42251140780801077</v>
      </c>
    </row>
    <row r="36" spans="2:13" ht="17" thickBot="1">
      <c r="B36" s="28" t="s">
        <v>15</v>
      </c>
      <c r="C36" s="27">
        <v>3697</v>
      </c>
      <c r="D36" s="26">
        <v>62.480986986648631</v>
      </c>
    </row>
    <row r="39" spans="2:13">
      <c r="B39" s="7">
        <v>2021</v>
      </c>
      <c r="K39" s="25"/>
      <c r="L39" s="25" t="s">
        <v>26</v>
      </c>
      <c r="M39" s="25" t="s">
        <v>25</v>
      </c>
    </row>
    <row r="40" spans="2:13" ht="21">
      <c r="B40" s="24" t="s">
        <v>24</v>
      </c>
      <c r="C40" s="24"/>
      <c r="D40" s="24"/>
      <c r="K40" s="25">
        <f>B39</f>
        <v>2021</v>
      </c>
      <c r="L40" s="25">
        <f>SUM(C44:C45)/SUM(C44:C46)</f>
        <v>0.66623600344530576</v>
      </c>
      <c r="M40" s="25">
        <f>C45/SUM(C44:C46)</f>
        <v>0.57579672695951767</v>
      </c>
    </row>
    <row r="41" spans="2:13" ht="22" thickBot="1">
      <c r="B41" s="24" t="s">
        <v>23</v>
      </c>
      <c r="C41" s="24"/>
      <c r="D41" s="24"/>
    </row>
    <row r="42" spans="2:13" ht="54">
      <c r="B42" s="23" t="s">
        <v>22</v>
      </c>
      <c r="C42" s="22" t="s">
        <v>3</v>
      </c>
      <c r="D42" s="21" t="s">
        <v>21</v>
      </c>
    </row>
    <row r="43" spans="2:13">
      <c r="B43" s="20" t="s">
        <v>20</v>
      </c>
      <c r="C43" s="19">
        <v>6641</v>
      </c>
      <c r="D43" s="18">
        <v>100</v>
      </c>
    </row>
    <row r="44" spans="2:13">
      <c r="B44" s="17" t="s">
        <v>19</v>
      </c>
      <c r="C44" s="15">
        <v>210</v>
      </c>
      <c r="D44" s="14">
        <v>3.2</v>
      </c>
    </row>
    <row r="45" spans="2:13">
      <c r="B45" s="13" t="s">
        <v>18</v>
      </c>
      <c r="C45" s="12">
        <v>1337</v>
      </c>
      <c r="D45" s="11">
        <v>20.100000000000001</v>
      </c>
    </row>
    <row r="46" spans="2:13">
      <c r="B46" s="16" t="s">
        <v>17</v>
      </c>
      <c r="C46" s="15">
        <v>775</v>
      </c>
      <c r="D46" s="14">
        <v>11.7</v>
      </c>
    </row>
    <row r="47" spans="2:13">
      <c r="B47" s="13" t="s">
        <v>16</v>
      </c>
      <c r="C47" s="12">
        <v>13</v>
      </c>
      <c r="D47" s="11">
        <v>0.2</v>
      </c>
    </row>
    <row r="48" spans="2:13" ht="17" thickBot="1">
      <c r="B48" s="10" t="s">
        <v>15</v>
      </c>
      <c r="C48" s="9">
        <v>4306</v>
      </c>
      <c r="D48" s="8">
        <v>64.8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CA363682C8F4F80A0EAE19F1BD9E4" ma:contentTypeVersion="4" ma:contentTypeDescription="Create a new document." ma:contentTypeScope="" ma:versionID="176042eccd00dd27ab9b195da4f332d8">
  <xsd:schema xmlns:xsd="http://www.w3.org/2001/XMLSchema" xmlns:xs="http://www.w3.org/2001/XMLSchema" xmlns:p="http://schemas.microsoft.com/office/2006/metadata/properties" xmlns:ns2="cf623074-13d1-44e3-9013-94496ccdf7fb" targetNamespace="http://schemas.microsoft.com/office/2006/metadata/properties" ma:root="true" ma:fieldsID="a45dbe925e8e9ff7f602d82b317a33ab" ns2:_="">
    <xsd:import namespace="cf623074-13d1-44e3-9013-94496ccdf7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23074-13d1-44e3-9013-94496ccdf7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A398BB-3F22-473A-B122-4323C2BAEF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3ACDCD-23D7-4B41-9C73-F4CB92DE24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623074-13d1-44e3-9013-94496ccdf7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14C9C2-CF3A-4EA0-A3E9-3F9A67E25F7F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cf623074-13d1-44e3-9013-94496ccdf7fb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Sheet1</vt:lpstr>
      <vt:lpstr>Sheet4</vt:lpstr>
      <vt:lpstr>Sheet2</vt:lpstr>
      <vt:lpstr>Sheet3</vt:lpstr>
      <vt:lpstr>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dio2</dc:creator>
  <cp:keywords/>
  <dc:description/>
  <cp:lastModifiedBy>Parastu Kasaie</cp:lastModifiedBy>
  <cp:revision/>
  <dcterms:created xsi:type="dcterms:W3CDTF">2025-08-18T15:24:00Z</dcterms:created>
  <dcterms:modified xsi:type="dcterms:W3CDTF">2026-07-10T15:21:31Z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0x010100EFFCA363682C8F4F80A0EAE19F1BD9E4</vt:lpwstr>
  </property>
  <property fmtid="{D5CDD505-2E9C-101B-9397-08002B2CF9AE}" pid="3" name="MSIP_Label_7b94a7b8-f06c-4dfe-bdcc-9b548fd58c31_Enabled">
    <vt:lpwstr>true</vt:lpwstr>
  </property>
  <property fmtid="{D5CDD505-2E9C-101B-9397-08002B2CF9AE}" pid="4" name="MSIP_Label_7b94a7b8-f06c-4dfe-bdcc-9b548fd58c31_SetDate">
    <vt:lpwstr>2025-09-16T20:31:04Z</vt:lpwstr>
  </property>
  <property fmtid="{D5CDD505-2E9C-101B-9397-08002B2CF9AE}" pid="5" name="MSIP_Label_7b94a7b8-f06c-4dfe-bdcc-9b548fd58c31_Method">
    <vt:lpwstr>Privileged</vt:lpwstr>
  </property>
  <property fmtid="{D5CDD505-2E9C-101B-9397-08002B2CF9AE}" pid="6" name="MSIP_Label_7b94a7b8-f06c-4dfe-bdcc-9b548fd58c31_Name">
    <vt:lpwstr>7b94a7b8-f06c-4dfe-bdcc-9b548fd58c31</vt:lpwstr>
  </property>
  <property fmtid="{D5CDD505-2E9C-101B-9397-08002B2CF9AE}" pid="7" name="MSIP_Label_7b94a7b8-f06c-4dfe-bdcc-9b548fd58c31_SiteId">
    <vt:lpwstr>9ce70869-60db-44fd-abe8-d2767077fc8f</vt:lpwstr>
  </property>
  <property fmtid="{D5CDD505-2E9C-101B-9397-08002B2CF9AE}" pid="8" name="MSIP_Label_7b94a7b8-f06c-4dfe-bdcc-9b548fd58c31_ActionId">
    <vt:lpwstr>9aa254e2-751a-4f34-a237-f24c7bfc190f</vt:lpwstr>
  </property>
  <property fmtid="{D5CDD505-2E9C-101B-9397-08002B2CF9AE}" pid="9" name="MSIP_Label_7b94a7b8-f06c-4dfe-bdcc-9b548fd58c31_ContentBits">
    <vt:lpwstr>0</vt:lpwstr>
  </property>
  <property fmtid="{D5CDD505-2E9C-101B-9397-08002B2CF9AE}" pid="10" name="MSIP_Label_7b94a7b8-f06c-4dfe-bdcc-9b548fd58c31_Tag">
    <vt:lpwstr>10, 0, 1, 2</vt:lpwstr>
  </property>
</Properties>
</file>